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d72546ac84a648dc" /></Relationships>
</file>

<file path=xl/workbook.xml><?xml version="1.0" encoding="utf-8"?>
<x:workbook xmlns:x="http://schemas.openxmlformats.org/spreadsheetml/2006/main">
  <x:sheets>
    <x:sheet xmlns:r="http://schemas.openxmlformats.org/officeDocument/2006/relationships" name="Work Orders" sheetId="1" r:id="Rbc5ca7466edb4b54"/>
    <x:sheet xmlns:r="http://schemas.openxmlformats.org/officeDocument/2006/relationships" name="Summary" sheetId="2" r:id="R2f58b5906b65448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
    <x:numFmt numFmtId="202" formatCode="$#,##0.00"/>
  </x:numFmts>
  <x:fonts count="6">
    <x:font>
      <x:sz val="11"/>
      <x:name val="Carlito"/>
    </x:font>
    <x:font>
      <x:b/>
      <x:sz val="11"/>
      <x:color rgb="FFFFFFFF"/>
      <x:name val="Carlito"/>
    </x:font>
    <x:font>
      <x:b/>
      <x:sz val="10"/>
      <x:color rgb="FFFFFFFF"/>
      <x:name val="Aptos"/>
    </x:font>
    <x:font>
      <x:b/>
      <x:sz val="16"/>
      <x:color rgb="FFFFFFFF"/>
      <x:name val="Carlito"/>
    </x:font>
    <x:font>
      <x:i/>
      <x:sz val="11"/>
      <x:color rgb="FF1F2933"/>
      <x:name val="Carlito"/>
    </x:font>
    <x:font>
      <x:sz val="10"/>
      <x:name val="Aptos"/>
    </x:font>
  </x:fonts>
  <x:fills count="5">
    <x:fill>
      <x:patternFill patternType="none"/>
    </x:fill>
    <x:fill>
      <x:patternFill patternType="gray125"/>
    </x:fill>
    <x:fill>
      <x:patternFill patternType="solid">
        <x:fgColor rgb="FF174A5C"/>
      </x:patternFill>
    </x:fill>
    <x:fill>
      <x:patternFill patternType="solid">
        <x:fgColor rgb="FFE8F0F2"/>
      </x:patternFill>
    </x:fill>
    <x:fill>
      <x:patternFill patternType="solid">
        <x:fgColor rgb="FF276678"/>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200" fontId="2" fillId="2" borderId="0" xfId="0" applyNumberFormat="1" applyFont="1" applyFill="1" applyBorder="1" applyAlignment="1">
      <x:alignment wrapText="1"/>
    </x:xf>
    <x:xf numFmtId="200" fontId="2" fillId="2" borderId="1" xfId="0" applyNumberFormat="1" applyFont="1" applyFill="1" applyBorder="1" applyAlignment="1">
      <x:alignment wrapText="1"/>
    </x:xf>
    <x:xf numFmtId="201" fontId="2" fillId="2" borderId="0" xfId="0" applyNumberFormat="1" applyFont="1" applyFill="1" applyBorder="1" applyAlignment="1">
      <x:alignment wrapText="1"/>
    </x:xf>
    <x:xf numFmtId="201" fontId="2" fillId="2" borderId="1" xfId="0" applyNumberFormat="1" applyFont="1" applyFill="1" applyBorder="1" applyAlignment="1">
      <x:alignment wrapText="1"/>
    </x:xf>
    <x:xf numFmtId="202" fontId="2" fillId="2" borderId="0" xfId="0" applyNumberFormat="1" applyFont="1" applyFill="1" applyBorder="1" applyAlignment="1">
      <x:alignment wrapText="1"/>
    </x:xf>
    <x:xf numFmtId="202" fontId="2" fillId="2"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2" fillId="4" borderId="0" xfId="0" applyNumberFormat="1" applyFont="1" applyFill="1" applyBorder="1"/>
    <x:xf numFmtId="0" fontId="5" fillId="0" borderId="0" xfId="0" applyNumberFormat="1" applyFont="1" applyFill="1" applyBorder="1"/>
    <x:xf numFmtId="20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08ff08c6cd42c7" /><Relationship Type="http://schemas.openxmlformats.org/officeDocument/2006/relationships/theme" Target="/xl/theme/theme1.xml" Id="R2f1b906cb65e4a63" /><Relationship Type="http://schemas.openxmlformats.org/officeDocument/2006/relationships/sharedStrings" Target="/xl/sharedStrings.xml" Id="Rc4ba25932ce7418d" /><Relationship Type="http://schemas.openxmlformats.org/officeDocument/2006/relationships/worksheet" Target="/xl/worksheets/sheet1.xml" Id="Rbc5ca7466edb4b54" /><Relationship Type="http://schemas.openxmlformats.org/officeDocument/2006/relationships/worksheet" Target="/xl/worksheets/sheet2.xml" Id="R2f58b5906b654481" /></Relationships>
</file>

<file path=xl/drawings/_rels/drawing1.xml.rels>&#65279;<?xml version="1.0" encoding="utf-8"?><Relationships xmlns="http://schemas.openxmlformats.org/package/2006/relationships"><Relationship Type="http://schemas.openxmlformats.org/officeDocument/2006/relationships/chart" Target="/xl/drawings/charts/chart1.xml" Id="R54bde476d3a842b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Corrective WOs by Process Upset</a:t>
            </a:r>
          </a:p>
        </c:rich>
      </c:tx>
      <c:overlay val="0"/>
    </c:title>
    <c:autoTitleDeleted val="0"/>
    <c:plotArea>
      <c:layout/>
      <c:barChart>
        <c:barDir val="col"/>
        <c:varyColors val="0"/>
        <c:ser>
          <c:idx val="0"/>
          <c:order val="0"/>
          <c:tx>
            <c:v>WO count</c:v>
          </c:tx>
          <c:cat>
            <c:strRef>
              <c:f>'Summary'!$A$5:$A$13</c:f>
              <c:strCache>
                <c:ptCount val="0"/>
              </c:strCache>
            </c:strRef>
          </c:cat>
          <c:val>
            <c:numRef>
              <c:f>'Summary'!$B$5:$B$13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4bde476d3a842b1"/>
        </a:graphicData>
      </a:graphic>
    </xdr:graphicFrame>
    <xdr:clientData/>
  </xdr:twoCellAnchor>
</xdr:wsDr>
</file>

<file path=xl/tables/table1.xml><?xml version="1.0" encoding="utf-8"?>
<x:table xmlns:x="http://schemas.openxmlformats.org/spreadsheetml/2006/main" id="1" name="CMMSCorrectiveWOHistory" displayName="CMMSCorrectiveWOHistory" ref="A1:U1251" headerRowCount="1">
  <x:tableColumns count="21">
    <x:tableColumn id="1" name="notification_no"/>
    <x:tableColumn id="2" name="work_order_no"/>
    <x:tableColumn id="3" name="notification_date"/>
    <x:tableColumn id="4" name="order_created_date"/>
    <x:tableColumn id="5" name="completion_date"/>
    <x:tableColumn id="6" name="functional_location"/>
    <x:tableColumn id="7" name="equipment_tag"/>
    <x:tableColumn id="8" name="equipment_description"/>
    <x:tableColumn id="9" name="equipment_class"/>
    <x:tableColumn id="10" name="priority"/>
    <x:tableColumn id="11" name="status"/>
    <x:tableColumn id="12" name="craft"/>
    <x:tableColumn id="13" name="process_upset"/>
    <x:tableColumn id="14" name="failure_mode"/>
    <x:tableColumn id="15" name="failure_code"/>
    <x:tableColumn id="16" name="cause_code"/>
    <x:tableColumn id="17" name="outage_required"/>
    <x:tableColumn id="18" name="labor_hours"/>
    <x:tableColumn id="19" name="material_cost_usd"/>
    <x:tableColumn id="20" name="notification_short_text"/>
    <x:tableColumn id="21" name="notification_long_t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435effeb3742c8" /></Relationships>
</file>

<file path=xl/worksheets/_rels/sheet2.xml.rels>&#65279;<?xml version="1.0" encoding="utf-8"?><Relationships xmlns="http://schemas.openxmlformats.org/package/2006/relationships"><Relationship Type="http://schemas.openxmlformats.org/officeDocument/2006/relationships/drawing" Target="/xl/drawings/drawing1.xml" Id="R192bf9feae814185" /></Relationships>
</file>

<file path=xl/worksheets/sheet1.xml><?xml version="1.0" encoding="utf-8"?>
<x:worksheet xmlns:x="http://schemas.openxmlformats.org/spreadsheetml/2006/main">
  <x:sheetViews>
    <x:sheetView showGridLines="0" workbookViewId="0"/>
  </x:sheetViews>
  <x:sheetFormatPr defaultRowHeight="15"/>
  <x:cols>
    <x:col min="1" max="1" width="11.130000114440918" hidden="0" customWidth="1"/>
    <x:col min="2" max="2" width="11.380000114440918" hidden="0" customWidth="1"/>
    <x:col min="3" max="3" width="12.5" hidden="0" customWidth="1"/>
    <x:col min="4" max="4" width="14.380000114440918" hidden="0" customWidth="1"/>
    <x:col min="5" max="5" width="12.380000114440918" hidden="0" customWidth="1"/>
    <x:col min="6" max="6" width="18.8799991607666" hidden="0" customWidth="1"/>
    <x:col min="7" max="7" width="11.130000114440918" hidden="0" customWidth="1"/>
    <x:col min="8" max="8" width="25.1299991607666" hidden="0" customWidth="1"/>
    <x:col min="9" max="9" width="12.75" hidden="0" customWidth="1"/>
    <x:col min="10" max="10" width="5.75" hidden="0" customWidth="1"/>
    <x:col min="11" max="11" width="5.25" hidden="0" customWidth="1"/>
    <x:col min="12" max="12" width="9" hidden="0" customWidth="1"/>
    <x:col min="13" max="13" width="20" hidden="0" customWidth="1"/>
    <x:col min="14" max="14" width="16.75" hidden="0" customWidth="1"/>
    <x:col min="15" max="15" width="11.25" hidden="0" customWidth="1"/>
    <x:col min="16" max="16" width="8.630000114440918" hidden="0" customWidth="1"/>
    <x:col min="17" max="17" width="12.130000114440918" hidden="0" customWidth="1"/>
    <x:col min="18" max="18" width="8.880000114440918" hidden="0" customWidth="1"/>
    <x:col min="19" max="19" width="13.25" hidden="0" customWidth="1"/>
    <x:col min="20" max="20" width="45" hidden="0" customWidth="1"/>
    <x:col min="21" max="21" width="45" hidden="0" customWidth="1"/>
  </x:cols>
  <x:sheetData>
    <x:row r="1" ht="15" hidden="0" customHeight="1">
      <x:c r="A1" s="8" t="str">
        <x:v>notification_no</x:v>
      </x:c>
      <x:c r="B1" s="8" t="str">
        <x:v>work_order_no</x:v>
      </x:c>
      <x:c r="C1" s="10" t="str">
        <x:v>notification_date</x:v>
      </x:c>
      <x:c r="D1" s="10" t="str">
        <x:v>order_created_date</x:v>
      </x:c>
      <x:c r="E1" s="10" t="str">
        <x:v>completion_date</x:v>
      </x:c>
      <x:c r="F1" s="8" t="str">
        <x:v>functional_location</x:v>
      </x:c>
      <x:c r="G1" s="8" t="str">
        <x:v>equipment_tag</x:v>
      </x:c>
      <x:c r="H1" s="8" t="str">
        <x:v>equipment_description</x:v>
      </x:c>
      <x:c r="I1" s="8" t="str">
        <x:v>equipment_class</x:v>
      </x:c>
      <x:c r="J1" s="8" t="str">
        <x:v>priority</x:v>
      </x:c>
      <x:c r="K1" s="8" t="str">
        <x:v>status</x:v>
      </x:c>
      <x:c r="L1" s="8" t="str">
        <x:v>craft</x:v>
      </x:c>
      <x:c r="M1" s="8" t="str">
        <x:v>process_upset</x:v>
      </x:c>
      <x:c r="N1" s="8" t="str">
        <x:v>failure_mode</x:v>
      </x:c>
      <x:c r="O1" s="8" t="str">
        <x:v>failure_code</x:v>
      </x:c>
      <x:c r="P1" s="8" t="str">
        <x:v>cause_code</x:v>
      </x:c>
      <x:c r="Q1" s="8" t="str">
        <x:v>outage_required</x:v>
      </x:c>
      <x:c r="R1" s="12" t="str">
        <x:v>labor_hours</x:v>
      </x:c>
      <x:c r="S1" s="14" t="str">
        <x:v>material_cost_usd</x:v>
      </x:c>
      <x:c r="T1" s="8" t="str">
        <x:v>notification_short_text</x:v>
      </x:c>
      <x:c r="U1" s="8" t="str">
        <x:v>notification_long_text</x:v>
      </x:c>
    </x:row>
    <x:row r="2" ht="15" hidden="0" customHeight="1">
      <x:c r="A2" t="str">
        <x:v>10450001</x:v>
      </x:c>
      <x:c r="B2" t="str">
        <x:v>40870001</x:v>
      </x:c>
      <x:c r="C2" t="str">
        <x:v>2021-06-05</x:v>
      </x:c>
      <x:c r="D2" t="str">
        <x:v>2021-06-05</x:v>
      </x:c>
      <x:c r="E2" t="str">
        <x:v>2021-06-06</x:v>
      </x:c>
      <x:c r="F2" t="str">
        <x:v>U400-DEETHANIZER-500</x:v>
      </x:c>
      <x:c r="G2" t="str">
        <x:v>PT-501</x:v>
      </x:c>
      <x:c r="H2" t="str">
        <x:v>column overhead pressure tx</x:v>
      </x:c>
      <x:c r="I2" t="str">
        <x:v>instrument</x:v>
      </x:c>
      <x:c r="J2" t="str">
        <x:v>P1</x:v>
      </x:c>
      <x:c r="K2" t="str">
        <x:v>TECO</x:v>
      </x:c>
      <x:c r="L2" t="str">
        <x:v>INST</x:v>
      </x:c>
      <x:c r="M2" t="str">
        <x:v>pressure_control_fault</x:v>
      </x:c>
      <x:c r="N2" t="str">
        <x:v>range err</x:v>
      </x:c>
      <x:c r="O2" t="str">
        <x:v>SPAN</x:v>
      </x:c>
      <x:c r="P2" t="str">
        <x:v>CAL</x:v>
      </x:c>
      <x:c r="Q2" t="str">
        <x:v>N</x:v>
      </x:c>
      <x:c r="R2" t="str">
        <x:v>9.9</x:v>
      </x:c>
      <x:c r="S2" t="str">
        <x:v>4087.64</x:v>
      </x:c>
      <x:c r="T2" t="str">
        <x:v>PT-501 not ok after pressure control fault</x:v>
      </x:c>
      <x:c r="U2" t="str">
        <x:v>A shift called for PT-501 column overhead pressure tx, pshh close call seen during pressure control fault. Foud range err; span shifted. opened strainer, cleaned black sludge. ops says ok for now. notif made by ops, maint attended same shift.</x:v>
      </x:c>
    </x:row>
    <x:row r="3" ht="15" hidden="0" customHeight="1">
      <x:c r="A3" t="str">
        <x:v>10450002</x:v>
      </x:c>
      <x:c r="B3" t="str">
        <x:v>40870002</x:v>
      </x:c>
      <x:c r="C3" t="str">
        <x:v>2021-06-06</x:v>
      </x:c>
      <x:c r="D3" t="str">
        <x:v>2021-06-06</x:v>
      </x:c>
      <x:c r="E3" t="str">
        <x:v>2021-06-07</x:v>
      </x:c>
      <x:c r="F3" t="str">
        <x:v>U400-DEETHANIZER-500</x:v>
      </x:c>
      <x:c r="G3" t="str">
        <x:v>TV-501</x:v>
      </x:c>
      <x:c r="H3" t="str">
        <x:v>reboiler hot medium valve</x:v>
      </x:c>
      <x:c r="I3" t="str">
        <x:v>control_valve</x:v>
      </x:c>
      <x:c r="J3" t="str">
        <x:v>P3</x:v>
      </x:c>
      <x:c r="K3" t="str">
        <x:v>COMP</x:v>
      </x:c>
      <x:c r="L3" t="str">
        <x:v>MECH</x:v>
      </x:c>
      <x:c r="M3" t="str">
        <x:v>feed_temperature_ramp</x:v>
      </x:c>
      <x:c r="N3" t="str">
        <x:v>not stroking</x:v>
      </x:c>
      <x:c r="O3" t="str">
        <x:v>NO_TRAVEL</x:v>
      </x:c>
      <x:c r="P3" t="str">
        <x:v>ACT</x:v>
      </x:c>
      <x:c r="Q3" t="str">
        <x:v>N</x:v>
      </x:c>
      <x:c r="R3" t="str">
        <x:v>1.4</x:v>
      </x:c>
      <x:c r="S3" t="str">
        <x:v>3255.54</x:v>
      </x:c>
      <x:c r="T3" t="str">
        <x:v>TV-501 not stroking again</x:v>
      </x:c>
      <x:c r="U3" t="str">
        <x:v>A shift called for TV-501 reboiler hot medium valve, spec off seen during feed temperature ramp. Foud not stroking; actuator weak. Line was hot so job done slow and with ops standing by. swapped to standby and repaired. unit stable now. notif made by ops, maint attended same shift.</x:v>
      </x:c>
    </x:row>
    <x:row r="4" ht="15" hidden="0" customHeight="1">
      <x:c r="A4" t="str">
        <x:v>10450003</x:v>
      </x:c>
      <x:c r="B4" t="str">
        <x:v>40870003</x:v>
      </x:c>
      <x:c r="C4" t="str">
        <x:v>2021-06-05</x:v>
      </x:c>
      <x:c r="D4" t="str">
        <x:v>2021-06-06</x:v>
      </x:c>
      <x:c r="E4" t="str">
        <x:v>2021-06-08</x:v>
      </x:c>
      <x:c r="F4" t="str">
        <x:v>U400-DEETHANIZER-500</x:v>
      </x:c>
      <x:c r="G4" t="str">
        <x:v>LV-501</x:v>
      </x:c>
      <x:c r="H4" t="str">
        <x:v>reflux drum level valve</x:v>
      </x:c>
      <x:c r="I4" t="str">
        <x:v>control_valve</x:v>
      </x:c>
      <x:c r="J4" t="str">
        <x:v>P2</x:v>
      </x:c>
      <x:c r="K4" t="str">
        <x:v>COMP</x:v>
      </x:c>
      <x:c r="L4" t="str">
        <x:v>MECH</x:v>
      </x:c>
      <x:c r="M4" t="str">
        <x:v>reboiler_duty_loss</x:v>
      </x:c>
      <x:c r="N4" t="str">
        <x:v>not stroking</x:v>
      </x:c>
      <x:c r="O4" t="str">
        <x:v>NO_TRAVEL</x:v>
      </x:c>
      <x:c r="P4" t="str">
        <x:v>ACT</x:v>
      </x:c>
      <x:c r="Q4" t="str">
        <x:v>N</x:v>
      </x:c>
      <x:c r="R4" t="str">
        <x:v>9.1</x:v>
      </x:c>
      <x:c r="S4" t="str">
        <x:v>152.12</x:v>
      </x:c>
      <x:c r="T4" t="str">
        <x:v>LV-501 not stroking bad</x:v>
      </x:c>
      <x:c r="U4" t="str">
        <x:v>B shift called for LV-501 reflux drum level vavle, rb circ cold seen during rebiler duty loss. Foud not stroking; actuator weak. No spare in store at first, used refurb one from shop. calibrated, loop checked with CCR. unit stable now. notif made by ops, maint attended same shift.</x:v>
      </x:c>
    </x:row>
    <x:row r="5" ht="15" hidden="0" customHeight="1">
      <x:c r="A5" t="str">
        <x:v>10450004</x:v>
      </x:c>
      <x:c r="B5" t="str">
        <x:v>40870004</x:v>
      </x:c>
      <x:c r="C5" t="str">
        <x:v>2021-06-10</x:v>
      </x:c>
      <x:c r="D5" t="str">
        <x:v>2021-06-10</x:v>
      </x:c>
      <x:c r="E5" t="str">
        <x:v>2021-06-12</x:v>
      </x:c>
      <x:c r="F5" t="str">
        <x:v>U400-DEETHANIZER-500</x:v>
      </x:c>
      <x:c r="G5" t="str">
        <x:v>TV-501</x:v>
      </x:c>
      <x:c r="H5" t="str">
        <x:v>reboiler hot medium valve</x:v>
      </x:c>
      <x:c r="I5" t="str">
        <x:v>control_valve</x:v>
      </x:c>
      <x:c r="J5" t="str">
        <x:v>P4</x:v>
      </x:c>
      <x:c r="K5" t="str">
        <x:v>CLSD</x:v>
      </x:c>
      <x:c r="L5" t="str">
        <x:v>ANLYZR</x:v>
      </x:c>
      <x:c r="M5" t="str">
        <x:v>feed_composition_shift</x:v>
      </x:c>
      <x:c r="N5" t="str">
        <x:v>stiction</x:v>
      </x:c>
      <x:c r="O5" t="str">
        <x:v>STICK</x:v>
      </x:c>
      <x:c r="P5" t="str">
        <x:v>PACKING</x:v>
      </x:c>
      <x:c r="Q5" t="str">
        <x:v>N</x:v>
      </x:c>
      <x:c r="R5" t="str">
        <x:v>10.3</x:v>
      </x:c>
      <x:c r="S5" t="str">
        <x:v>2664.87</x:v>
      </x:c>
      <x:c r="T5" t="str">
        <x:v>TV-501 not ok after feed composition shift</x:v>
      </x:c>
      <x:c r="U5" t="str">
        <x:v>night called for TV-501 reboiler hot medium valve, btm heavy seen during feed composition shift. Foud stiction; stem sticky and pos err. stroke tested, response better. unit stable now. notif made by ops, maint attended same shift.</x:v>
      </x:c>
    </x:row>
    <x:row r="6" ht="15" hidden="0" customHeight="1">
      <x:c r="A6" t="str">
        <x:v>10450005</x:v>
      </x:c>
      <x:c r="B6" t="str">
        <x:v>40870005</x:v>
      </x:c>
      <x:c r="C6" t="str">
        <x:v>2021-06-11</x:v>
      </x:c>
      <x:c r="D6" t="str">
        <x:v>2021-06-13</x:v>
      </x:c>
      <x:c r="E6" t="str">
        <x:v>2021-06-13</x:v>
      </x:c>
      <x:c r="F6" t="str">
        <x:v>U400-DEETHANIZER-500</x:v>
      </x:c>
      <x:c r="G6" t="str">
        <x:v>FV-502</x:v>
      </x:c>
      <x:c r="H6" t="str">
        <x:v>reflux flow control valve</x:v>
      </x:c>
      <x:c r="I6" t="str">
        <x:v>control_valve</x:v>
      </x:c>
      <x:c r="J6" t="str">
        <x:v>P4</x:v>
      </x:c>
      <x:c r="K6" t="str">
        <x:v>CLSD</x:v>
      </x:c>
      <x:c r="L6" t="str">
        <x:v>E&amp;I</x:v>
      </x:c>
      <x:c r="M6" t="str">
        <x:v>reflux_pump_degradation</x:v>
      </x:c>
      <x:c r="N6" t="str">
        <x:v>not stroking</x:v>
      </x:c>
      <x:c r="O6" t="str">
        <x:v>NO_TRAVEL</x:v>
      </x:c>
      <x:c r="P6" t="str">
        <x:v>ACT</x:v>
      </x:c>
      <x:c r="Q6" t="str">
        <x:v>N</x:v>
      </x:c>
      <x:c r="R6" t="str">
        <x:v>1.9</x:v>
      </x:c>
      <x:c r="S6" t="str">
        <x:v>5830.13</x:v>
      </x:c>
      <x:c r="T6" t="str">
        <x:v>FV-502 not stroking again, prod upset</x:v>
      </x:c>
      <x:c r="U6" t="str">
        <x:v>B shift called for FV-502 reflux flow control valve, seal weep seen during reflux pump degradation. Foud not stroking; actuator weak. replaced positioner tubing and retuned small. no leak at handover. notif made by ops, maint attended same shift.</x:v>
      </x:c>
    </x:row>
    <x:row r="7" ht="15" hidden="0" customHeight="1">
      <x:c r="A7" t="str">
        <x:v>10450006</x:v>
      </x:c>
      <x:c r="B7" t="str">
        <x:v>40870006</x:v>
      </x:c>
      <x:c r="C7" t="str">
        <x:v>2021-06-10</x:v>
      </x:c>
      <x:c r="D7" t="str">
        <x:v>2021-06-10</x:v>
      </x:c>
      <x:c r="E7" t="str">
        <x:v>2021-06-15</x:v>
      </x:c>
      <x:c r="F7" t="str">
        <x:v>U400-DEETHANIZER-500</x:v>
      </x:c>
      <x:c r="G7" t="str">
        <x:v>TT-501B</x:v>
      </x:c>
      <x:c r="H7" t="str">
        <x:v>sensitive tray temperature tx</x:v>
      </x:c>
      <x:c r="I7" t="str">
        <x:v>instrument</x:v>
      </x:c>
      <x:c r="J7" t="str">
        <x:v>P3</x:v>
      </x:c>
      <x:c r="K7" t="str">
        <x:v>COMP</x:v>
      </x:c>
      <x:c r="L7" t="str">
        <x:v>ANLYZR</x:v>
      </x:c>
      <x:c r="M7" t="str">
        <x:v>reboiler_duty_loss</x:v>
      </x:c>
      <x:c r="N7" t="str">
        <x:v>loose wire</x:v>
      </x:c>
      <x:c r="O7" t="str">
        <x:v>SIGNAL</x:v>
      </x:c>
      <x:c r="P7" t="str">
        <x:v>ELEC</x:v>
      </x:c>
      <x:c r="Q7" t="str">
        <x:v>N</x:v>
      </x:c>
      <x:c r="R7" t="str">
        <x:v>4.6</x:v>
      </x:c>
      <x:c r="S7" t="str">
        <x:v>6446.42</x:v>
      </x:c>
      <x:c r="T7" t="str">
        <x:v>TT-501B loose wire again, prod upset</x:v>
      </x:c>
      <x:c r="U7" t="str">
        <x:v>A shift called for TT-501B sensitive tray temperature tx, tray temp low seen during reboiler duty loss. Foud loose wire; term loose. tightened fittings, leak test ok. still little hunting but acceptable. notif made by ops, maint attended same shift.</x:v>
      </x:c>
    </x:row>
    <x:row r="8" ht="15" hidden="0" customHeight="1">
      <x:c r="A8" t="str">
        <x:v>10450007</x:v>
      </x:c>
      <x:c r="B8" t="str">
        <x:v>40870007</x:v>
      </x:c>
      <x:c r="C8" t="str">
        <x:v>2021-06-09</x:v>
      </x:c>
      <x:c r="D8" t="str">
        <x:v>2021-06-09</x:v>
      </x:c>
      <x:c r="E8" t="str">
        <x:v>2021-06-11</x:v>
      </x:c>
      <x:c r="F8" t="str">
        <x:v>U400-DEETHANIZER-500</x:v>
      </x:c>
      <x:c r="G8" t="str">
        <x:v>LV-501</x:v>
      </x:c>
      <x:c r="H8" t="str">
        <x:v>reflux drum level valve</x:v>
      </x:c>
      <x:c r="I8" t="str">
        <x:v>control_valve</x:v>
      </x:c>
      <x:c r="J8" t="str">
        <x:v>P3</x:v>
      </x:c>
      <x:c r="K8" t="str">
        <x:v>TECO</x:v>
      </x:c>
      <x:c r="L8" t="str">
        <x:v>VALVE</x:v>
      </x:c>
      <x:c r="M8" t="str">
        <x:v>valve_stiction</x:v>
      </x:c>
      <x:c r="N8" t="str">
        <x:v>hunting loop</x:v>
      </x:c>
      <x:c r="O8" t="str">
        <x:v>CTRL_OSC</x:v>
      </x:c>
      <x:c r="P8" t="str">
        <x:v>TUNE</x:v>
      </x:c>
      <x:c r="Q8" t="str">
        <x:v>N</x:v>
      </x:c>
      <x:c r="R8" t="str">
        <x:v>3.3</x:v>
      </x:c>
      <x:c r="S8" t="str">
        <x:v>3281.42</x:v>
      </x:c>
      <x:c r="T8" t="str">
        <x:v>LV-501 loop cycling, hunting loop</x:v>
      </x:c>
      <x:c r="U8" t="str">
        <x:v>A shift called for LV-501 reflux drum level valve, position bad seen during valve stiction. Foud hunting loop; bad response after upset. changed gasket and boxed up. readng close to dcs after job. notif made by ops, maint attended same shift.</x:v>
      </x:c>
    </x:row>
    <x:row r="9" ht="15" hidden="0" customHeight="1">
      <x:c r="A9" t="str">
        <x:v>10450008</x:v>
      </x:c>
      <x:c r="B9" t="str">
        <x:v>40870008</x:v>
      </x:c>
      <x:c r="C9" t="str">
        <x:v>2021-06-12</x:v>
      </x:c>
      <x:c r="D9" t="str">
        <x:v>2021-06-12</x:v>
      </x:c>
      <x:c r="E9" t="str">
        <x:v>2021-06-13</x:v>
      </x:c>
      <x:c r="F9" t="str">
        <x:v>U400-DEETHANIZER-500</x:v>
      </x:c>
      <x:c r="G9" t="str">
        <x:v>P-501A</x:v>
      </x:c>
      <x:c r="H9" t="str">
        <x:v>reflux pump A</x:v>
      </x:c>
      <x:c r="I9" t="str">
        <x:v>pump</x:v>
      </x:c>
      <x:c r="J9" t="str">
        <x:v>P2</x:v>
      </x:c>
      <x:c r="K9" t="str">
        <x:v>CLSD</x:v>
      </x:c>
      <x:c r="L9" t="str">
        <x:v>OPS+MECH</x:v>
      </x:c>
      <x:c r="M9" t="str">
        <x:v>feed_composition_shift</x:v>
      </x:c>
      <x:c r="N9" t="str">
        <x:v>seal leak</x:v>
      </x:c>
      <x:c r="O9" t="str">
        <x:v>MECH_SEAL</x:v>
      </x:c>
      <x:c r="P9" t="str">
        <x:v>SEAL</x:v>
      </x:c>
      <x:c r="Q9" t="str">
        <x:v>Y</x:v>
      </x:c>
      <x:c r="R9" t="str">
        <x:v>20.2</x:v>
      </x:c>
      <x:c r="S9" t="str">
        <x:v>12526.67</x:v>
      </x:c>
      <x:c r="T9" t="str">
        <x:v>P-501A seal leak again, prod upset</x:v>
      </x:c>
      <x:c r="U9" t="str">
        <x:v>A shift called for P-501A reflux pump A, c3 in feed hi seen during feed composition shift. Foud seal leak; seal face worn / dry run signs. Tag plate dirty, confirmd by line up with panel. opened strainer, cleaned black sludge. no leak at handover. notif made by ops, maint attended same shift.</x:v>
      </x:c>
    </x:row>
    <x:row r="10" ht="15" hidden="0" customHeight="1">
      <x:c r="A10" t="str">
        <x:v>10450009</x:v>
      </x:c>
      <x:c r="B10" t="str">
        <x:v>40870009</x:v>
      </x:c>
      <x:c r="C10" t="str">
        <x:v>2021-06-14</x:v>
      </x:c>
      <x:c r="D10" t="str">
        <x:v>2021-06-14</x:v>
      </x:c>
      <x:c r="E10" t="str">
        <x:v>2021-06-28</x:v>
      </x:c>
      <x:c r="F10" t="str">
        <x:v>U400-DEETHANIZER-500</x:v>
      </x:c>
      <x:c r="G10" t="str">
        <x:v>E-501</x:v>
      </x:c>
      <x:c r="H10" t="str">
        <x:v>deethanizer reboiler</x:v>
      </x:c>
      <x:c r="I10" t="str">
        <x:v>reboiler</x:v>
      </x:c>
      <x:c r="J10" t="str">
        <x:v>P2</x:v>
      </x:c>
      <x:c r="K10" t="str">
        <x:v>COMP</x:v>
      </x:c>
      <x:c r="L10" t="str">
        <x:v>INST</x:v>
      </x:c>
      <x:c r="M10" t="str">
        <x:v>feed_temperature_ramp</x:v>
      </x:c>
      <x:c r="N10" t="str">
        <x:v>circ poor</x:v>
      </x:c>
      <x:c r="O10" t="str">
        <x:v>NO_FLOW</x:v>
      </x:c>
      <x:c r="P10" t="str">
        <x:v>PLUG</x:v>
      </x:c>
      <x:c r="Q10" t="str">
        <x:v>N</x:v>
      </x:c>
      <x:c r="R10" t="str">
        <x:v>3.6</x:v>
      </x:c>
      <x:c r="S10" t="str">
        <x:v>4098.12</x:v>
      </x:c>
      <x:c r="T10" t="str">
        <x:v>E-501 circ poor asap</x:v>
      </x:c>
      <x:c r="U10" t="str">
        <x:v>C shift called for E-501 deethanizer reboiler, tray temp drift seen during feed temp ramp. Foud circ poor; blocked inlet screen. Could not get permit first time waiting area gas test. calibrated, loop checked with CCR. temp repair only, plan shutdown job. notif made by ops, maint attended same shift.</x:v>
      </x:c>
    </x:row>
    <x:row r="11" ht="15" hidden="0" customHeight="1">
      <x:c r="A11" t="str">
        <x:v>10450010</x:v>
      </x:c>
      <x:c r="B11" t="str">
        <x:v>40870010</x:v>
      </x:c>
      <x:c r="C11" t="str">
        <x:v>2021-06-15</x:v>
      </x:c>
      <x:c r="D11" t="str">
        <x:v>2021-06-15</x:v>
      </x:c>
      <x:c r="E11" t="str">
        <x:v>2021-06-17</x:v>
      </x:c>
      <x:c r="F11" t="str">
        <x:v>U400-DEETHANIZER-500</x:v>
      </x:c>
      <x:c r="G11" t="str">
        <x:v>TT-501B</x:v>
      </x:c>
      <x:c r="H11" t="str">
        <x:v>sensitive tray temperature tx</x:v>
      </x:c>
      <x:c r="I11" t="str">
        <x:v>instrument</x:v>
      </x:c>
      <x:c r="J11" t="str">
        <x:v>P3</x:v>
      </x:c>
      <x:c r="K11" t="str">
        <x:v>TECO</x:v>
      </x:c>
      <x:c r="L11" t="str">
        <x:v>ANLYZR</x:v>
      </x:c>
      <x:c r="M11" t="str">
        <x:v>reboiler_duty_loss</x:v>
      </x:c>
      <x:c r="N11" t="str">
        <x:v>no signal</x:v>
      </x:c>
      <x:c r="O11" t="str">
        <x:v>NO_SIGNAL</x:v>
      </x:c>
      <x:c r="P11" t="str">
        <x:v>ELEC</x:v>
      </x:c>
      <x:c r="Q11" t="str">
        <x:v>N</x:v>
      </x:c>
      <x:c r="R11" t="str">
        <x:v>11.7</x:v>
      </x:c>
      <x:c r="S11" t="str">
        <x:v>6224.52</x:v>
      </x:c>
      <x:c r="T11" t="str">
        <x:v>TT-501B no signal asap</x:v>
      </x:c>
      <x:c r="U11" t="str">
        <x:v>B shift called for TT-501B sensitive tray temp tx, rb circ cold seen during rebiler duty loss. Foud no signal; 24v or card issue. flushed impulse/sample line. unit stable now. notif made by ops, maint attended same shift.</x:v>
      </x:c>
    </x:row>
    <x:row r="12" ht="15" hidden="0" customHeight="1">
      <x:c r="A12" t="str">
        <x:v>10450011</x:v>
      </x:c>
      <x:c r="B12" t="str">
        <x:v>40870011</x:v>
      </x:c>
      <x:c r="C12" t="str">
        <x:v>2021-06-16</x:v>
      </x:c>
      <x:c r="D12" t="str">
        <x:v>2021-06-16</x:v>
      </x:c>
      <x:c r="E12" t="str">
        <x:v>2021-06-19</x:v>
      </x:c>
      <x:c r="F12" t="str">
        <x:v>U400-DEETHANIZER-500</x:v>
      </x:c>
      <x:c r="G12" t="str">
        <x:v>E-501</x:v>
      </x:c>
      <x:c r="H12" t="str">
        <x:v>deethanizer reboiler</x:v>
      </x:c>
      <x:c r="I12" t="str">
        <x:v>reboiler</x:v>
      </x:c>
      <x:c r="J12" t="str">
        <x:v>P3</x:v>
      </x:c>
      <x:c r="K12" t="str">
        <x:v>COMP</x:v>
      </x:c>
      <x:c r="L12" t="str">
        <x:v>MECH</x:v>
      </x:c>
      <x:c r="M12" t="str">
        <x:v>reboiler_duty_loss</x:v>
      </x:c>
      <x:c r="N12" t="str">
        <x:v>rb leak</x:v>
      </x:c>
      <x:c r="O12" t="str">
        <x:v>LEAK</x:v>
      </x:c>
      <x:c r="P12" t="str">
        <x:v>GASKET</x:v>
      </x:c>
      <x:c r="Q12" t="str">
        <x:v>N</x:v>
      </x:c>
      <x:c r="R12" t="str">
        <x:v>4.1</x:v>
      </x:c>
      <x:c r="S12" t="str">
        <x:v>10350.57</x:v>
      </x:c>
      <x:c r="T12" t="str">
        <x:v>E-501 rb leak ops req</x:v>
      </x:c>
      <x:c r="U12" t="str">
        <x:v>B shift called for E-501 deethanizer reboiler, rb circ cold seen during reboiler duty loss. Foud rb leak; channel flange weep. Tag plate dirty, confirmd by line up with panel. calibrated, loop checked with CCR. temp repair only, plan shutdown job. notif made by ops, maint attended same shift.</x:v>
      </x:c>
    </x:row>
    <x:row r="13" ht="15" hidden="0" customHeight="1">
      <x:c r="A13" t="str">
        <x:v>10450012</x:v>
      </x:c>
      <x:c r="B13" t="str">
        <x:v>40870012</x:v>
      </x:c>
      <x:c r="C13" t="str">
        <x:v>2021-06-20</x:v>
      </x:c>
      <x:c r="D13" t="str">
        <x:v>2021-06-20</x:v>
      </x:c>
      <x:c r="E13" t="str">
        <x:v>2021-07-04</x:v>
      </x:c>
      <x:c r="F13" t="str">
        <x:v>U400-DEETHANIZER-500</x:v>
      </x:c>
      <x:c r="G13" t="str">
        <x:v>E-502</x:v>
      </x:c>
      <x:c r="H13" t="str">
        <x:v>deethanizer overhead condenser</x:v>
      </x:c>
      <x:c r="I13" t="str">
        <x:v>condenser</x:v>
      </x:c>
      <x:c r="J13" t="str">
        <x:v>P4</x:v>
      </x:c>
      <x:c r="K13" t="str">
        <x:v>COMP</x:v>
      </x:c>
      <x:c r="L13" t="str">
        <x:v>ROT</x:v>
      </x:c>
      <x:c r="M13" t="str">
        <x:v>feed_flow_step</x:v>
      </x:c>
      <x:c r="N13" t="str">
        <x:v>tv no travel</x:v>
      </x:c>
      <x:c r="O13" t="str">
        <x:v>VALVE</x:v>
      </x:c>
      <x:c r="P13" t="str">
        <x:v>STICK</x:v>
      </x:c>
      <x:c r="Q13" t="str">
        <x:v>N</x:v>
      </x:c>
      <x:c r="R13" t="str">
        <x:v>8.8</x:v>
      </x:c>
      <x:c r="S13" t="str">
        <x:v>3820.8</x:v>
      </x:c>
      <x:c r="T13" t="str">
        <x:v>E-502 not ok after feed flow step</x:v>
      </x:c>
      <x:c r="U13" t="str">
        <x:v>night called for E-502 deethanizer overhead condenser, fic hunting seen during feed flow step. Foud tv no travel; cooling valve stuck. History shows same complain last mnth. reset trip and monitored for 2 hrs. temp repair only, plan shutdown job. notif made by ops, maint attended same shift.</x:v>
      </x:c>
    </x:row>
    <x:row r="14" ht="15" hidden="0" customHeight="1">
      <x:c r="A14" t="str">
        <x:v>10450013</x:v>
      </x:c>
      <x:c r="B14" t="str">
        <x:v>40870013</x:v>
      </x:c>
      <x:c r="C14" t="str">
        <x:v>2021-06-21</x:v>
      </x:c>
      <x:c r="D14" t="str">
        <x:v>2021-06-21</x:v>
      </x:c>
      <x:c r="E14" t="str">
        <x:v>2021-07-05</x:v>
      </x:c>
      <x:c r="F14" t="str">
        <x:v>U400-DEETHANIZER-500</x:v>
      </x:c>
      <x:c r="G14" t="str">
        <x:v>E-502</x:v>
      </x:c>
      <x:c r="H14" t="str">
        <x:v>deethanizer overhead condenser</x:v>
      </x:c>
      <x:c r="I14" t="str">
        <x:v>condenser</x:v>
      </x:c>
      <x:c r="J14" t="str">
        <x:v>P1</x:v>
      </x:c>
      <x:c r="K14" t="str">
        <x:v>COMP</x:v>
      </x:c>
      <x:c r="L14" t="str">
        <x:v>OPS+MECH</x:v>
      </x:c>
      <x:c r="M14" t="str">
        <x:v>condenser_fouling</x:v>
      </x:c>
      <x:c r="N14" t="str">
        <x:v>cw fouling</x:v>
      </x:c>
      <x:c r="O14" t="str">
        <x:v>FOULING</x:v>
      </x:c>
      <x:c r="P14" t="str">
        <x:v>UTILITY</x:v>
      </x:c>
      <x:c r="Q14" t="str">
        <x:v>N</x:v>
      </x:c>
      <x:c r="R14" t="str">
        <x:v>16.7</x:v>
      </x:c>
      <x:c r="S14" t="str">
        <x:v>6597.97</x:v>
      </x:c>
      <x:c r="T14" t="str">
        <x:v>E-502 not ok after condenser fouling</x:v>
      </x:c>
      <x:c r="U14" t="str">
        <x:v>night called for E-502 deethanizer overhead condenser, cw dt low seen during condenser fouling. Foud cw fouling; cw side scaled. swapped to standby and repaired. readng close to dcs after job. notif made by ops, maint attended same shift.</x:v>
      </x:c>
    </x:row>
    <x:row r="15" ht="15" hidden="0" customHeight="1">
      <x:c r="A15" t="str">
        <x:v>10450014</x:v>
      </x:c>
      <x:c r="B15" t="str">
        <x:v>40870014</x:v>
      </x:c>
      <x:c r="C15" t="str">
        <x:v>2021-06-23</x:v>
      </x:c>
      <x:c r="D15" t="str">
        <x:v>2021-06-23</x:v>
      </x:c>
      <x:c r="E15" t="str">
        <x:v>2021-06-25</x:v>
      </x:c>
      <x:c r="F15" t="str">
        <x:v>U400-DEETHANIZER-500</x:v>
      </x:c>
      <x:c r="G15" t="str">
        <x:v>E-503</x:v>
      </x:c>
      <x:c r="H15" t="str">
        <x:v>feed bottoms exchanger</x:v>
      </x:c>
      <x:c r="I15" t="str">
        <x:v>exchanger</x:v>
      </x:c>
      <x:c r="J15" t="str">
        <x:v>P2</x:v>
      </x:c>
      <x:c r="K15" t="str">
        <x:v>TECO</x:v>
      </x:c>
      <x:c r="L15" t="str">
        <x:v>INST</x:v>
      </x:c>
      <x:c r="M15" t="str">
        <x:v>feed_flow_step</x:v>
      </x:c>
      <x:c r="N15" t="str">
        <x:v>tube fouling</x:v>
      </x:c>
      <x:c r="O15" t="str">
        <x:v>FOULING</x:v>
      </x:c>
      <x:c r="P15" t="str">
        <x:v>PROCESS</x:v>
      </x:c>
      <x:c r="Q15" t="str">
        <x:v>N</x:v>
      </x:c>
      <x:c r="R15" t="str">
        <x:v>15.2</x:v>
      </x:c>
      <x:c r="S15" t="str">
        <x:v>11772.15</x:v>
      </x:c>
      <x:c r="T15" t="str">
        <x:v>chk E-503 - tube fouling frm ops</x:v>
      </x:c>
      <x:c r="U15" t="str">
        <x:v>night called for E-503 feed bottoms exchanger, lvl swing seen during feed flow step. Foud tube fouling; duty low, delta t poor. flushed impulse/sample line. still little hunting but acceptable. notif made by ops, maint attended same shift.</x:v>
      </x:c>
    </x:row>
    <x:row r="16" ht="15" hidden="0" customHeight="1">
      <x:c r="A16" t="str">
        <x:v>10450015</x:v>
      </x:c>
      <x:c r="B16" t="str">
        <x:v>40870015</x:v>
      </x:c>
      <x:c r="C16" t="str">
        <x:v>2021-06-23</x:v>
      </x:c>
      <x:c r="D16" t="str">
        <x:v>2021-06-25</x:v>
      </x:c>
      <x:c r="E16" t="str">
        <x:v>2021-06-28</x:v>
      </x:c>
      <x:c r="F16" t="str">
        <x:v>U400-DEETHANIZER-500</x:v>
      </x:c>
      <x:c r="G16" t="str">
        <x:v>E-503</x:v>
      </x:c>
      <x:c r="H16" t="str">
        <x:v>feed bottoms exchanger</x:v>
      </x:c>
      <x:c r="I16" t="str">
        <x:v>exchanger</x:v>
      </x:c>
      <x:c r="J16" t="str">
        <x:v>P4</x:v>
      </x:c>
      <x:c r="K16" t="str">
        <x:v>COMP</x:v>
      </x:c>
      <x:c r="L16" t="str">
        <x:v>VALVE</x:v>
      </x:c>
      <x:c r="M16" t="str">
        <x:v>feed_temperature_ramp</x:v>
      </x:c>
      <x:c r="N16" t="str">
        <x:v>gasket weep</x:v>
      </x:c>
      <x:c r="O16" t="str">
        <x:v>LEAK</x:v>
      </x:c>
      <x:c r="P16" t="str">
        <x:v>GASKET</x:v>
      </x:c>
      <x:c r="Q16" t="str">
        <x:v>N</x:v>
      </x:c>
      <x:c r="R16" t="str">
        <x:v>3.4</x:v>
      </x:c>
      <x:c r="S16" t="str">
        <x:v>1127.39</x:v>
      </x:c>
      <x:c r="T16" t="str">
        <x:v>E-503 feed temp high, gasket weep</x:v>
      </x:c>
      <x:c r="U16" t="str">
        <x:v>A shift called for E-503 feed bottoms exchanger, feed temp high seen during feed temperature ramp. Foud gasket weep; flange sweating. flushed impulse/sample line. no leak at handover. notif made by ops, maint attended same shift.</x:v>
      </x:c>
    </x:row>
    <x:row r="17" ht="15" hidden="0" customHeight="1">
      <x:c r="A17" t="str">
        <x:v>10450016</x:v>
      </x:c>
      <x:c r="B17" t="str">
        <x:v>40870016</x:v>
      </x:c>
      <x:c r="C17" t="str">
        <x:v>2021-06-26</x:v>
      </x:c>
      <x:c r="D17" t="str">
        <x:v>2021-06-26</x:v>
      </x:c>
      <x:c r="E17" t="str">
        <x:v>2021-06-28</x:v>
      </x:c>
      <x:c r="F17" t="str">
        <x:v>U400-DEETHANIZER-500</x:v>
      </x:c>
      <x:c r="G17" t="str">
        <x:v>AIT-501</x:v>
      </x:c>
      <x:c r="H17" t="str">
        <x:v>overhead C2 analyzer</x:v>
      </x:c>
      <x:c r="I17" t="str">
        <x:v>analyzer</x:v>
      </x:c>
      <x:c r="J17" t="str">
        <x:v>P3</x:v>
      </x:c>
      <x:c r="K17" t="str">
        <x:v>TECO</x:v>
      </x:c>
      <x:c r="L17" t="str">
        <x:v>INST</x:v>
      </x:c>
      <x:c r="M17" t="str">
        <x:v>feed_composition_shift</x:v>
      </x:c>
      <x:c r="N17" t="str">
        <x:v>bad gc cycle</x:v>
      </x:c>
      <x:c r="O17" t="str">
        <x:v>NO_ANALYSIS</x:v>
      </x:c>
      <x:c r="P17" t="str">
        <x:v>ELEC</x:v>
      </x:c>
      <x:c r="Q17" t="str">
        <x:v>N</x:v>
      </x:c>
      <x:c r="R17" t="str">
        <x:v>6.2</x:v>
      </x:c>
      <x:c r="S17" t="str">
        <x:v>3034.67</x:v>
      </x:c>
      <x:c r="T17" t="str">
        <x:v>AIT-501 not ok after feed composition shift</x:v>
      </x:c>
      <x:c r="U17" t="str">
        <x:v>C shift called for AIT-501 overhead C2 analyzer, anlyzr off seen during feed composition shift. Foud bad gc cycle; cycle abort. opened strainer, cleaned black sludge. still little hunting but acceptable. notif made by ops, maint attended same shift.</x:v>
      </x:c>
    </x:row>
    <x:row r="18" ht="15" hidden="0" customHeight="1">
      <x:c r="A18" t="str">
        <x:v>10450017</x:v>
      </x:c>
      <x:c r="B18" t="str">
        <x:v>40870017</x:v>
      </x:c>
      <x:c r="C18" t="str">
        <x:v>2021-06-24</x:v>
      </x:c>
      <x:c r="D18" t="str">
        <x:v>2021-06-24</x:v>
      </x:c>
      <x:c r="E18" t="str">
        <x:v>2021-06-25</x:v>
      </x:c>
      <x:c r="F18" t="str">
        <x:v>U400-DEETHANIZER-500</x:v>
      </x:c>
      <x:c r="G18" t="str">
        <x:v>P-501A</x:v>
      </x:c>
      <x:c r="H18" t="str">
        <x:v>reflux pump A</x:v>
      </x:c>
      <x:c r="I18" t="str">
        <x:v>pump</x:v>
      </x:c>
      <x:c r="J18" t="str">
        <x:v>P3</x:v>
      </x:c>
      <x:c r="K18" t="str">
        <x:v>TECO</x:v>
      </x:c>
      <x:c r="L18" t="str">
        <x:v>VALVE</x:v>
      </x:c>
      <x:c r="M18" t="str">
        <x:v>feed_flow_step</x:v>
      </x:c>
      <x:c r="N18" t="str">
        <x:v>bearing hot</x:v>
      </x:c>
      <x:c r="O18" t="str">
        <x:v>BRG</x:v>
      </x:c>
      <x:c r="P18" t="str">
        <x:v>WEAR</x:v>
      </x:c>
      <x:c r="Q18" t="str">
        <x:v>N</x:v>
      </x:c>
      <x:c r="R18" t="str">
        <x:v>17.2</x:v>
      </x:c>
      <x:c r="S18" t="str">
        <x:v>7631.94</x:v>
      </x:c>
      <x:c r="T18" t="str">
        <x:v>P-501A not ok after feed flow step</x:v>
      </x:c>
      <x:c r="U18" t="str">
        <x:v>night called for P-501A reflux pump A, feed jump seen during feed flow step. Foud bearing hot; brg rough, lube dark. calibrated, loop checked with CCR. still little hunting but acceptable. notif made by ops, maint attended same shift.</x:v>
      </x:c>
    </x:row>
    <x:row r="19" ht="15" hidden="0" customHeight="1">
      <x:c r="A19" t="str">
        <x:v>10450018</x:v>
      </x:c>
      <x:c r="B19" t="str">
        <x:v>40870018</x:v>
      </x:c>
      <x:c r="C19" t="str">
        <x:v>2021-06-29</x:v>
      </x:c>
      <x:c r="D19" t="str">
        <x:v>2021-07-01</x:v>
      </x:c>
      <x:c r="E19" t="str">
        <x:v>2021-07-03</x:v>
      </x:c>
      <x:c r="F19" t="str">
        <x:v>U400-DEETHANIZER-500</x:v>
      </x:c>
      <x:c r="G19" t="str">
        <x:v>P-501B</x:v>
      </x:c>
      <x:c r="H19" t="str">
        <x:v>reflux pump B</x:v>
      </x:c>
      <x:c r="I19" t="str">
        <x:v>pump</x:v>
      </x:c>
      <x:c r="J19" t="str">
        <x:v>P3</x:v>
      </x:c>
      <x:c r="K19" t="str">
        <x:v>TECO</x:v>
      </x:c>
      <x:c r="L19" t="str">
        <x:v>OPS+INST</x:v>
      </x:c>
      <x:c r="M19" t="str">
        <x:v>reflux_pump_degradation</x:v>
      </x:c>
      <x:c r="N19" t="str">
        <x:v>seal leak</x:v>
      </x:c>
      <x:c r="O19" t="str">
        <x:v>MECH_SEAL</x:v>
      </x:c>
      <x:c r="P19" t="str">
        <x:v>SEAL</x:v>
      </x:c>
      <x:c r="Q19" t="str">
        <x:v>N</x:v>
      </x:c>
      <x:c r="R19" t="str">
        <x:v>1.2</x:v>
      </x:c>
      <x:c r="S19" t="str">
        <x:v>16094.82</x:v>
      </x:c>
      <x:c r="T19" t="str">
        <x:v>P-501B not ok after reflux pump degradation</x:v>
      </x:c>
      <x:c r="U19" t="str">
        <x:v>C shift called for P-501B reflux pump B, seal weep seen during reflux pump degradation. Foud seal leak; seal face worn / dry run signs. Line was hot so job done slow and with ops standing by. reset trip and monitored for 2 hrs. no leak at handover. notif made by ops, maint attended same shift.</x:v>
      </x:c>
    </x:row>
    <x:row r="20" ht="15" hidden="0" customHeight="1">
      <x:c r="A20" t="str">
        <x:v>10450019</x:v>
      </x:c>
      <x:c r="B20" t="str">
        <x:v>40870019</x:v>
      </x:c>
      <x:c r="C20" t="str">
        <x:v>2021-06-27</x:v>
      </x:c>
      <x:c r="D20" t="str">
        <x:v>2021-06-27</x:v>
      </x:c>
      <x:c r="E20" t="str">
        <x:v>2021-06-28</x:v>
      </x:c>
      <x:c r="F20" t="str">
        <x:v>U400-DEETHANIZER-500</x:v>
      </x:c>
      <x:c r="G20" t="str">
        <x:v>FV-501</x:v>
      </x:c>
      <x:c r="H20" t="str">
        <x:v>feed flow control valve</x:v>
      </x:c>
      <x:c r="I20" t="str">
        <x:v>control_valve</x:v>
      </x:c>
      <x:c r="J20" t="str">
        <x:v>P2</x:v>
      </x:c>
      <x:c r="K20" t="str">
        <x:v>COMP</x:v>
      </x:c>
      <x:c r="L20" t="str">
        <x:v>OPS+INST</x:v>
      </x:c>
      <x:c r="M20" t="str">
        <x:v>feed_flow_step</x:v>
      </x:c>
      <x:c r="N20" t="str">
        <x:v>not stroking</x:v>
      </x:c>
      <x:c r="O20" t="str">
        <x:v>NO_TRAVEL</x:v>
      </x:c>
      <x:c r="P20" t="str">
        <x:v>ACT</x:v>
      </x:c>
      <x:c r="Q20" t="str">
        <x:v>N</x:v>
      </x:c>
      <x:c r="R20" t="str">
        <x:v>9.4</x:v>
      </x:c>
      <x:c r="S20" t="str">
        <x:v>5361.29</x:v>
      </x:c>
      <x:c r="T20" t="str">
        <x:v>FV-501 not stroking asap</x:v>
      </x:c>
      <x:c r="U20" t="str">
        <x:v>night called for FV-501 feed flow control valve, fic hunting seen during feed flow step. Foud not stroking; actuator weak. replaced positioner tubing and retuned small. temp repair only, plan shutdown job. notif made by ops, maint attended same shift.</x:v>
      </x:c>
    </x:row>
    <x:row r="21" ht="15" hidden="0" customHeight="1">
      <x:c r="A21" t="str">
        <x:v>10450020</x:v>
      </x:c>
      <x:c r="B21" t="str">
        <x:v>40870020</x:v>
      </x:c>
      <x:c r="C21" t="str">
        <x:v>2021-07-01</x:v>
      </x:c>
      <x:c r="D21" t="str">
        <x:v>2021-07-02</x:v>
      </x:c>
      <x:c r="E21" t="str">
        <x:v>2021-07-03</x:v>
      </x:c>
      <x:c r="F21" t="str">
        <x:v>U400-DEETHANIZER-500</x:v>
      </x:c>
      <x:c r="G21" t="str">
        <x:v>TV-501</x:v>
      </x:c>
      <x:c r="H21" t="str">
        <x:v>reboiler hot medium valve</x:v>
      </x:c>
      <x:c r="I21" t="str">
        <x:v>control_valve</x:v>
      </x:c>
      <x:c r="J21" t="str">
        <x:v>P3</x:v>
      </x:c>
      <x:c r="K21" t="str">
        <x:v>TECO</x:v>
      </x:c>
      <x:c r="L21" t="str">
        <x:v>OPS+INST</x:v>
      </x:c>
      <x:c r="M21" t="str">
        <x:v>reboiler_duty_loss</x:v>
      </x:c>
      <x:c r="N21" t="str">
        <x:v>not stroking</x:v>
      </x:c>
      <x:c r="O21" t="str">
        <x:v>NO_TRAVEL</x:v>
      </x:c>
      <x:c r="P21" t="str">
        <x:v>ACT</x:v>
      </x:c>
      <x:c r="Q21" t="str">
        <x:v>N</x:v>
      </x:c>
      <x:c r="R21" t="str">
        <x:v>2.7</x:v>
      </x:c>
      <x:c r="S21" t="str">
        <x:v>804.56</x:v>
      </x:c>
      <x:c r="T21" t="str">
        <x:v>TV-501 not stroking bad</x:v>
      </x:c>
      <x:c r="U21" t="str">
        <x:v>B shift called for TV-501 reboiler hot medium valve, low heat seen during reboiler duty loss. Foud not stroking; actuator weak. reset trip and monitored for 2 hrs. need watch next feed swing. notif made by ops, maint attended same shift.</x:v>
      </x:c>
    </x:row>
    <x:row r="22" ht="15" hidden="0" customHeight="1">
      <x:c r="A22" t="str">
        <x:v>10450021</x:v>
      </x:c>
      <x:c r="B22" t="str">
        <x:v>40870021</x:v>
      </x:c>
      <x:c r="C22" t="str">
        <x:v>2021-07-01</x:v>
      </x:c>
      <x:c r="D22" t="str">
        <x:v>2021-07-02</x:v>
      </x:c>
      <x:c r="E22" t="str">
        <x:v>2021-07-02</x:v>
      </x:c>
      <x:c r="F22" t="str">
        <x:v>U400-DEETHANIZER-500</x:v>
      </x:c>
      <x:c r="G22" t="str">
        <x:v>V-501</x:v>
      </x:c>
      <x:c r="H22" t="str">
        <x:v>deethanizer reflux drum</x:v>
      </x:c>
      <x:c r="I22" t="str">
        <x:v>vessel</x:v>
      </x:c>
      <x:c r="J22" t="str">
        <x:v>P3</x:v>
      </x:c>
      <x:c r="K22" t="str">
        <x:v>CLSD</x:v>
      </x:c>
      <x:c r="L22" t="str">
        <x:v>MECH</x:v>
      </x:c>
      <x:c r="M22" t="str">
        <x:v>condenser_fouling</x:v>
      </x:c>
      <x:c r="N22" t="str">
        <x:v>level swing</x:v>
      </x:c>
      <x:c r="O22" t="str">
        <x:v>LVL_SWING</x:v>
      </x:c>
      <x:c r="P22" t="str">
        <x:v>CTRL</x:v>
      </x:c>
      <x:c r="Q22" t="str">
        <x:v>N</x:v>
      </x:c>
      <x:c r="R22" t="str">
        <x:v>4.7</x:v>
      </x:c>
      <x:c r="S22" t="str">
        <x:v>4819.31</x:v>
      </x:c>
      <x:c r="T22" t="str">
        <x:v>V-501 level swing again, prod upset</x:v>
      </x:c>
      <x:c r="U22" t="str">
        <x:v>A shift called for V-501 deethanizer reflux drum, pic wide open seen during condenser fouling. Foud level swing; lt/lic problem. No spare in store at first, used refurb one from shop. flushed impulse/sample line. unit stable now. notif made by ops, maint attended same shift.</x:v>
      </x:c>
    </x:row>
    <x:row r="23" ht="15" hidden="0" customHeight="1">
      <x:c r="A23" t="str">
        <x:v>10450022</x:v>
      </x:c>
      <x:c r="B23" t="str">
        <x:v>40870022</x:v>
      </x:c>
      <x:c r="C23" t="str">
        <x:v>2021-07-01</x:v>
      </x:c>
      <x:c r="D23" t="str">
        <x:v>2021-07-01</x:v>
      </x:c>
      <x:c r="E23" t="str">
        <x:v>2021-07-01</x:v>
      </x:c>
      <x:c r="F23" t="str">
        <x:v>U400-DEETHANIZER-500</x:v>
      </x:c>
      <x:c r="G23" t="str">
        <x:v>FV-501</x:v>
      </x:c>
      <x:c r="H23" t="str">
        <x:v>feed flow control valve</x:v>
      </x:c>
      <x:c r="I23" t="str">
        <x:v>control_valve</x:v>
      </x:c>
      <x:c r="J23" t="str">
        <x:v>P2</x:v>
      </x:c>
      <x:c r="K23" t="str">
        <x:v>CLSD</x:v>
      </x:c>
      <x:c r="L23" t="str">
        <x:v>OPS+INST</x:v>
      </x:c>
      <x:c r="M23" t="str">
        <x:v>valve_stiction</x:v>
      </x:c>
      <x:c r="N23" t="str">
        <x:v>stiction</x:v>
      </x:c>
      <x:c r="O23" t="str">
        <x:v>STICK</x:v>
      </x:c>
      <x:c r="P23" t="str">
        <x:v>PACKING</x:v>
      </x:c>
      <x:c r="Q23" t="str">
        <x:v>Y</x:v>
      </x:c>
      <x:c r="R23" t="str">
        <x:v>14.6</x:v>
      </x:c>
      <x:c r="S23" t="str">
        <x:v>419.2</x:v>
      </x:c>
      <x:c r="T23" t="str">
        <x:v>chk FV-501 - stiction frm ops</x:v>
      </x:c>
      <x:c r="U23" t="str">
        <x:v>B shift called for FV-501 feed flow ctrl valve, air leak seen during valve stiction. Foud stiction; stem sticky and pos err. No spare in store at first, used refurb one from shop. replaced positioner tubing and retuned small. readng close to dcs after job. notif made by ops, maint attended same shift.</x:v>
      </x:c>
    </x:row>
    <x:row r="24" ht="15" hidden="0" customHeight="1">
      <x:c r="A24" t="str">
        <x:v>10450023</x:v>
      </x:c>
      <x:c r="B24" t="str">
        <x:v>40870023</x:v>
      </x:c>
      <x:c r="C24" t="str">
        <x:v>2021-07-07</x:v>
      </x:c>
      <x:c r="D24" t="str">
        <x:v>2021-07-07</x:v>
      </x:c>
      <x:c r="E24" t="str">
        <x:v>2021-07-07</x:v>
      </x:c>
      <x:c r="F24" t="str">
        <x:v>U400-DEETHANIZER-500</x:v>
      </x:c>
      <x:c r="G24" t="str">
        <x:v>E-503</x:v>
      </x:c>
      <x:c r="H24" t="str">
        <x:v>feed bottoms exchanger</x:v>
      </x:c>
      <x:c r="I24" t="str">
        <x:v>exchanger</x:v>
      </x:c>
      <x:c r="J24" t="str">
        <x:v>P3</x:v>
      </x:c>
      <x:c r="K24" t="str">
        <x:v>CLSD</x:v>
      </x:c>
      <x:c r="L24" t="str">
        <x:v>ANLYZR</x:v>
      </x:c>
      <x:c r="M24" t="str">
        <x:v>feed_composition_shift</x:v>
      </x:c>
      <x:c r="N24" t="str">
        <x:v>gasket weep</x:v>
      </x:c>
      <x:c r="O24" t="str">
        <x:v>LEAK</x:v>
      </x:c>
      <x:c r="P24" t="str">
        <x:v>GASKET</x:v>
      </x:c>
      <x:c r="Q24" t="str">
        <x:v>N</x:v>
      </x:c>
      <x:c r="R24" t="str">
        <x:v>8.2</x:v>
      </x:c>
      <x:c r="S24" t="str">
        <x:v>10985.23</x:v>
      </x:c>
      <x:c r="T24" t="str">
        <x:v>E-503 gasket weep again, prod upset</x:v>
      </x:c>
      <x:c r="U24" t="str">
        <x:v>A shift called for E-503 feed bottoms exchanger, btm heavy seen during feed composition shift. Foud gasket weep; flange sweating. Tag plate dirty, confirmd by line up with panel. reset trip and monitored for 2 hrs. unit stable now. notif made by ops, maint attended same shift.</x:v>
      </x:c>
    </x:row>
    <x:row r="25" ht="15" hidden="0" customHeight="1">
      <x:c r="A25" t="str">
        <x:v>10450024</x:v>
      </x:c>
      <x:c r="B25" t="str">
        <x:v>40870024</x:v>
      </x:c>
      <x:c r="C25" t="str">
        <x:v>2021-07-08</x:v>
      </x:c>
      <x:c r="D25" t="str">
        <x:v>2021-07-08</x:v>
      </x:c>
      <x:c r="E25" t="str">
        <x:v>2021-07-09</x:v>
      </x:c>
      <x:c r="F25" t="str">
        <x:v>U400-DEETHANIZER-500</x:v>
      </x:c>
      <x:c r="G25" t="str">
        <x:v>E-503</x:v>
      </x:c>
      <x:c r="H25" t="str">
        <x:v>feed bottoms exchanger</x:v>
      </x:c>
      <x:c r="I25" t="str">
        <x:v>exchanger</x:v>
      </x:c>
      <x:c r="J25" t="str">
        <x:v>P3</x:v>
      </x:c>
      <x:c r="K25" t="str">
        <x:v>COMP</x:v>
      </x:c>
      <x:c r="L25" t="str">
        <x:v>OPS+INST</x:v>
      </x:c>
      <x:c r="M25" t="str">
        <x:v>feed_temperature_ramp</x:v>
      </x:c>
      <x:c r="N25" t="str">
        <x:v>plugged pass</x:v>
      </x:c>
      <x:c r="O25" t="str">
        <x:v>PLUG</x:v>
      </x:c>
      <x:c r="P25" t="str">
        <x:v>FOUL</x:v>
      </x:c>
      <x:c r="Q25" t="str">
        <x:v>N</x:v>
      </x:c>
      <x:c r="R25" t="str">
        <x:v>7.4</x:v>
      </x:c>
      <x:c r="S25" t="str">
        <x:v>13463.5</x:v>
      </x:c>
      <x:c r="T25" t="str">
        <x:v>E-503 not ok after feed temperature ramp</x:v>
      </x:c>
      <x:c r="U25" t="str">
        <x:v>days called for E-503 feed bottoms exchanger, tray temp drift seen during feed temperature ramp. Foud plugged pass; flow restricted. No spare in store at first, used refurb one from shop. cleaned and put back online. no leak at handover. notif made by ops, maint attended same shift.</x:v>
      </x:c>
    </x:row>
    <x:row r="26" ht="15" hidden="0" customHeight="1">
      <x:c r="A26" t="str">
        <x:v>10450025</x:v>
      </x:c>
      <x:c r="B26" t="str">
        <x:v>40870025</x:v>
      </x:c>
      <x:c r="C26" t="str">
        <x:v>2021-07-06</x:v>
      </x:c>
      <x:c r="D26" t="str">
        <x:v>2021-07-07</x:v>
      </x:c>
      <x:c r="E26" t="str">
        <x:v>2021-07-08</x:v>
      </x:c>
      <x:c r="F26" t="str">
        <x:v>U400-DEETHANIZER-500</x:v>
      </x:c>
      <x:c r="G26" t="str">
        <x:v>PT-501</x:v>
      </x:c>
      <x:c r="H26" t="str">
        <x:v>column overhead pressure tx</x:v>
      </x:c>
      <x:c r="I26" t="str">
        <x:v>instrument</x:v>
      </x:c>
      <x:c r="J26" t="str">
        <x:v>P3</x:v>
      </x:c>
      <x:c r="K26" t="str">
        <x:v>CLSD</x:v>
      </x:c>
      <x:c r="L26" t="str">
        <x:v>OPS+INST</x:v>
      </x:c>
      <x:c r="M26" t="str">
        <x:v>condenser_fouling</x:v>
      </x:c>
      <x:c r="N26" t="str">
        <x:v>impulse plugged</x:v>
      </x:c>
      <x:c r="O26" t="str">
        <x:v>PLUG</x:v>
      </x:c>
      <x:c r="P26" t="str">
        <x:v>PROCESS</x:v>
      </x:c>
      <x:c r="Q26" t="str">
        <x:v>N</x:v>
      </x:c>
      <x:c r="R26" t="str">
        <x:v>16.3</x:v>
      </x:c>
      <x:c r="S26" t="str">
        <x:v>5068.75</x:v>
      </x:c>
      <x:c r="T26" t="str">
        <x:v>PT-501 impulse plugged asap</x:v>
      </x:c>
      <x:c r="U26" t="str">
        <x:v>days called for PT-501 column overhead pressure tx, pic wide open seen during condenser fouling. Foud impulse plugged; tap/line dirty. Could not get permit first time waiting area gas test. tightened fittings, leak test ok. unit stable now. notif made by ops, maint attended same shift.</x:v>
      </x:c>
    </x:row>
    <x:row r="27" ht="15" hidden="0" customHeight="1">
      <x:c r="A27" t="str">
        <x:v>10450026</x:v>
      </x:c>
      <x:c r="B27" t="str">
        <x:v>40870026</x:v>
      </x:c>
      <x:c r="C27" t="str">
        <x:v>2021-07-11</x:v>
      </x:c>
      <x:c r="D27" t="str">
        <x:v>2021-07-11</x:v>
      </x:c>
      <x:c r="E27" t="str">
        <x:v>2021-07-13</x:v>
      </x:c>
      <x:c r="F27" t="str">
        <x:v>U400-DEETHANIZER-500</x:v>
      </x:c>
      <x:c r="G27" t="str">
        <x:v>E-501</x:v>
      </x:c>
      <x:c r="H27" t="str">
        <x:v>deethanizer reboiler</x:v>
      </x:c>
      <x:c r="I27" t="str">
        <x:v>reboiler</x:v>
      </x:c>
      <x:c r="J27" t="str">
        <x:v>P2</x:v>
      </x:c>
      <x:c r="K27" t="str">
        <x:v>CLSD</x:v>
      </x:c>
      <x:c r="L27" t="str">
        <x:v>MECH</x:v>
      </x:c>
      <x:c r="M27" t="str">
        <x:v>feed_temperature_ramp</x:v>
      </x:c>
      <x:c r="N27" t="str">
        <x:v>circ poor</x:v>
      </x:c>
      <x:c r="O27" t="str">
        <x:v>NO_FLOW</x:v>
      </x:c>
      <x:c r="P27" t="str">
        <x:v>PLUG</x:v>
      </x:c>
      <x:c r="Q27" t="str">
        <x:v>N</x:v>
      </x:c>
      <x:c r="R27" t="str">
        <x:v>2.6</x:v>
      </x:c>
      <x:c r="S27" t="str">
        <x:v>634.05</x:v>
      </x:c>
      <x:c r="T27" t="str">
        <x:v>E-501 circ poor after upset</x:v>
      </x:c>
      <x:c r="U27" t="str">
        <x:v>B shift called for E-501 deethanizer reboiler, spec off seen during feed temp ramp. Foud circ poor; blocked inlet screen. replaced positioner tubing and retuned small. unit stable now. notif made by ops, maint attended same shift.</x:v>
      </x:c>
    </x:row>
    <x:row r="28" ht="15" hidden="0" customHeight="1">
      <x:c r="A28" t="str">
        <x:v>10450027</x:v>
      </x:c>
      <x:c r="B28" t="str">
        <x:v>40870027</x:v>
      </x:c>
      <x:c r="C28" t="str">
        <x:v>2021-07-13</x:v>
      </x:c>
      <x:c r="D28" t="str">
        <x:v>2021-07-13</x:v>
      </x:c>
      <x:c r="E28" t="str">
        <x:v>2021-07-13</x:v>
      </x:c>
      <x:c r="F28" t="str">
        <x:v>U400-DEETHANIZER-500</x:v>
      </x:c>
      <x:c r="G28" t="str">
        <x:v>PV-501</x:v>
      </x:c>
      <x:c r="H28" t="str">
        <x:v>column pressure control valve</x:v>
      </x:c>
      <x:c r="I28" t="str">
        <x:v>control_valve</x:v>
      </x:c>
      <x:c r="J28" t="str">
        <x:v>P2</x:v>
      </x:c>
      <x:c r="K28" t="str">
        <x:v>COMP</x:v>
      </x:c>
      <x:c r="L28" t="str">
        <x:v>E&amp;I</x:v>
      </x:c>
      <x:c r="M28" t="str">
        <x:v>condenser_fouling</x:v>
      </x:c>
      <x:c r="N28" t="str">
        <x:v>hunting loop</x:v>
      </x:c>
      <x:c r="O28" t="str">
        <x:v>CTRL_OSC</x:v>
      </x:c>
      <x:c r="P28" t="str">
        <x:v>TUNE</x:v>
      </x:c>
      <x:c r="Q28" t="str">
        <x:v>N</x:v>
      </x:c>
      <x:c r="R28" t="str">
        <x:v>17.4</x:v>
      </x:c>
      <x:c r="S28" t="str">
        <x:v>2262.6</x:v>
      </x:c>
      <x:c r="T28" t="str">
        <x:v>PV-501 not ok after condenser fouling</x:v>
      </x:c>
      <x:c r="U28" t="str">
        <x:v>days called for PV-501 column press control valve, cw dt low seen during condenser fouling. Foud hunting loop; bad response after upset. stroke tested, response better. readng close to dcs after job. notif made by ops, maint attended same shift.</x:v>
      </x:c>
    </x:row>
    <x:row r="29" ht="15" hidden="0" customHeight="1">
      <x:c r="A29" t="str">
        <x:v>10450028</x:v>
      </x:c>
      <x:c r="B29" t="str">
        <x:v>40870028</x:v>
      </x:c>
      <x:c r="C29" t="str">
        <x:v>2021-07-15</x:v>
      </x:c>
      <x:c r="D29" t="str">
        <x:v>2021-07-15</x:v>
      </x:c>
      <x:c r="E29" t="str">
        <x:v>2021-07-20</x:v>
      </x:c>
      <x:c r="F29" t="str">
        <x:v>U400-DEETHANIZER-500</x:v>
      </x:c>
      <x:c r="G29" t="str">
        <x:v>FT-502</x:v>
      </x:c>
      <x:c r="H29" t="str">
        <x:v>reflux flow transmitter</x:v>
      </x:c>
      <x:c r="I29" t="str">
        <x:v>instrument</x:v>
      </x:c>
      <x:c r="J29" t="str">
        <x:v>P4</x:v>
      </x:c>
      <x:c r="K29" t="str">
        <x:v>TECO</x:v>
      </x:c>
      <x:c r="L29" t="str">
        <x:v>E&amp;I</x:v>
      </x:c>
      <x:c r="M29" t="str">
        <x:v>reflux_pump_degradation</x:v>
      </x:c>
      <x:c r="N29" t="str">
        <x:v>impulse plugged</x:v>
      </x:c>
      <x:c r="O29" t="str">
        <x:v>PLUG</x:v>
      </x:c>
      <x:c r="P29" t="str">
        <x:v>PROCESS</x:v>
      </x:c>
      <x:c r="Q29" t="str">
        <x:v>N</x:v>
      </x:c>
      <x:c r="R29" t="str">
        <x:v>1.3</x:v>
      </x:c>
      <x:c r="S29" t="str">
        <x:v>6127.42</x:v>
      </x:c>
      <x:c r="T29" t="str">
        <x:v>FT-502 seal weep, impulse plugged</x:v>
      </x:c>
      <x:c r="U29" t="str">
        <x:v>night called for FT-502 reflux flow tx, min flow hot seen during reflux pump degradation. Foud impulse plugged; tap/line dirty. reset trip and monitored for 2 hrs. unit stable now. notif made by ops, maint attended same shift.</x:v>
      </x:c>
    </x:row>
    <x:row r="30" ht="15" hidden="0" customHeight="1">
      <x:c r="A30" t="str">
        <x:v>10450029</x:v>
      </x:c>
      <x:c r="B30" t="str">
        <x:v>40870029</x:v>
      </x:c>
      <x:c r="C30" t="str">
        <x:v>2021-07-11</x:v>
      </x:c>
      <x:c r="D30" t="str">
        <x:v>2021-07-11</x:v>
      </x:c>
      <x:c r="E30" t="str">
        <x:v>2021-07-12</x:v>
      </x:c>
      <x:c r="F30" t="str">
        <x:v>U400-DEETHANIZER-500</x:v>
      </x:c>
      <x:c r="G30" t="str">
        <x:v>PT-501</x:v>
      </x:c>
      <x:c r="H30" t="str">
        <x:v>column overhead pressure tx</x:v>
      </x:c>
      <x:c r="I30" t="str">
        <x:v>instrument</x:v>
      </x:c>
      <x:c r="J30" t="str">
        <x:v>P4</x:v>
      </x:c>
      <x:c r="K30" t="str">
        <x:v>CLSD</x:v>
      </x:c>
      <x:c r="L30" t="str">
        <x:v>ANLYZR</x:v>
      </x:c>
      <x:c r="M30" t="str">
        <x:v>condenser_fouling</x:v>
      </x:c>
      <x:c r="N30" t="str">
        <x:v>no signal</x:v>
      </x:c>
      <x:c r="O30" t="str">
        <x:v>NO_SIGNAL</x:v>
      </x:c>
      <x:c r="P30" t="str">
        <x:v>ELEC</x:v>
      </x:c>
      <x:c r="Q30" t="str">
        <x:v>N</x:v>
      </x:c>
      <x:c r="R30" t="str">
        <x:v>4.7</x:v>
      </x:c>
      <x:c r="S30" t="str">
        <x:v>41.41</x:v>
      </x:c>
      <x:c r="T30" t="str">
        <x:v>PT-501 no signal noisy</x:v>
      </x:c>
      <x:c r="U30" t="str">
        <x:v>night called for PT-501 column overhead pressure tx, pic wide open seen during condenser fouling. Foud no signal; 24v or card issue. reset trip and monitored for 2 hrs. ops says ok for now. notif made by ops, maint attended same shift.</x:v>
      </x:c>
    </x:row>
    <x:row r="31" ht="15" hidden="0" customHeight="1">
      <x:c r="A31" t="str">
        <x:v>10450030</x:v>
      </x:c>
      <x:c r="B31" t="str">
        <x:v>40870030</x:v>
      </x:c>
      <x:c r="C31" t="str">
        <x:v>2021-07-16</x:v>
      </x:c>
      <x:c r="D31" t="str">
        <x:v>2021-07-17</x:v>
      </x:c>
      <x:c r="E31" t="str">
        <x:v>2021-07-18</x:v>
      </x:c>
      <x:c r="F31" t="str">
        <x:v>U400-DEETHANIZER-500</x:v>
      </x:c>
      <x:c r="G31" t="str">
        <x:v>LV-502</x:v>
      </x:c>
      <x:c r="H31" t="str">
        <x:v>bottoms level valve</x:v>
      </x:c>
      <x:c r="I31" t="str">
        <x:v>control_valve</x:v>
      </x:c>
      <x:c r="J31" t="str">
        <x:v>P3</x:v>
      </x:c>
      <x:c r="K31" t="str">
        <x:v>TECO</x:v>
      </x:c>
      <x:c r="L31" t="str">
        <x:v>E&amp;I</x:v>
      </x:c>
      <x:c r="M31" t="str">
        <x:v>reflux_pump_degradation</x:v>
      </x:c>
      <x:c r="N31" t="str">
        <x:v>air leak</x:v>
      </x:c>
      <x:c r="O31" t="str">
        <x:v>AIR_LEAK</x:v>
      </x:c>
      <x:c r="P31" t="str">
        <x:v>TUBING</x:v>
      </x:c>
      <x:c r="Q31" t="str">
        <x:v>N</x:v>
      </x:c>
      <x:c r="R31" t="str">
        <x:v>12.4</x:v>
      </x:c>
      <x:c r="S31" t="str">
        <x:v>4668.65</x:v>
      </x:c>
      <x:c r="T31" t="str">
        <x:v>LV-502 air leak again, prod upset</x:v>
      </x:c>
      <x:c r="U31" t="str">
        <x:v>night called for LV-502 bottoms level valve, min flow hot seen during reflux pump degradation. Foud air leak; positioner supply drop. Line was hot so job done slow and with ops standing by. cleaned and put back online. no leak at handover. notif made by ops, maint attended same shift.</x:v>
      </x:c>
    </x:row>
    <x:row r="32" ht="15" hidden="0" customHeight="1">
      <x:c r="A32" t="str">
        <x:v>10450031</x:v>
      </x:c>
      <x:c r="B32" t="str">
        <x:v>40870031</x:v>
      </x:c>
      <x:c r="C32" t="str">
        <x:v>2021-07-19</x:v>
      </x:c>
      <x:c r="D32" t="str">
        <x:v>2021-07-19</x:v>
      </x:c>
      <x:c r="E32" t="str">
        <x:v>2021-07-19</x:v>
      </x:c>
      <x:c r="F32" t="str">
        <x:v>U400-DEETHANIZER-500</x:v>
      </x:c>
      <x:c r="G32" t="str">
        <x:v>PSV-502</x:v>
      </x:c>
      <x:c r="H32" t="str">
        <x:v>reflux drum relief valve</x:v>
      </x:c>
      <x:c r="I32" t="str">
        <x:v>relief</x:v>
      </x:c>
      <x:c r="J32" t="str">
        <x:v>P4</x:v>
      </x:c>
      <x:c r="K32" t="str">
        <x:v>CLSD</x:v>
      </x:c>
      <x:c r="L32" t="str">
        <x:v>MECH</x:v>
      </x:c>
      <x:c r="M32" t="str">
        <x:v>feed_flow_step</x:v>
      </x:c>
      <x:c r="N32" t="str">
        <x:v>seat passing</x:v>
      </x:c>
      <x:c r="O32" t="str">
        <x:v>LEAK_BY</x:v>
      </x:c>
      <x:c r="P32" t="str">
        <x:v>SEAT</x:v>
      </x:c>
      <x:c r="Q32" t="str">
        <x:v>N</x:v>
      </x:c>
      <x:c r="R32" t="str">
        <x:v>8.3</x:v>
      </x:c>
      <x:c r="S32" t="str">
        <x:v>4487.7</x:v>
      </x:c>
      <x:c r="T32" t="str">
        <x:v>PSV-502 seat passing again, prod upset</x:v>
      </x:c>
      <x:c r="U32" t="str">
        <x:v>C shift called for PSV-502 reflux drum relief valve, fic hunting seen during feed flow step. Foud seat passing; tail pipe warm. calibrated, loop checked with CCR. need watch next feed swing. notif made by ops, maint attended same shift.</x:v>
      </x:c>
    </x:row>
    <x:row r="33" ht="15" hidden="0" customHeight="1">
      <x:c r="A33" t="str">
        <x:v>10450032</x:v>
      </x:c>
      <x:c r="B33" t="str">
        <x:v>40870032</x:v>
      </x:c>
      <x:c r="C33" t="str">
        <x:v>2021-07-19</x:v>
      </x:c>
      <x:c r="D33" t="str">
        <x:v>2021-07-19</x:v>
      </x:c>
      <x:c r="E33" t="str">
        <x:v>2021-07-20</x:v>
      </x:c>
      <x:c r="F33" t="str">
        <x:v>U400-DEETHANIZER-500</x:v>
      </x:c>
      <x:c r="G33" t="str">
        <x:v>FV-502</x:v>
      </x:c>
      <x:c r="H33" t="str">
        <x:v>reflux flow control valve</x:v>
      </x:c>
      <x:c r="I33" t="str">
        <x:v>control_valve</x:v>
      </x:c>
      <x:c r="J33" t="str">
        <x:v>P3</x:v>
      </x:c>
      <x:c r="K33" t="str">
        <x:v>TECO</x:v>
      </x:c>
      <x:c r="L33" t="str">
        <x:v>ROT</x:v>
      </x:c>
      <x:c r="M33" t="str">
        <x:v>valve_stiction</x:v>
      </x:c>
      <x:c r="N33" t="str">
        <x:v>stiction</x:v>
      </x:c>
      <x:c r="O33" t="str">
        <x:v>STICK</x:v>
      </x:c>
      <x:c r="P33" t="str">
        <x:v>PACKING</x:v>
      </x:c>
      <x:c r="Q33" t="str">
        <x:v>N</x:v>
      </x:c>
      <x:c r="R33" t="str">
        <x:v>4.9</x:v>
      </x:c>
      <x:c r="S33" t="str">
        <x:v>5711.18</x:v>
      </x:c>
      <x:c r="T33" t="str">
        <x:v>FV-502 stiction again, prod upset</x:v>
      </x:c>
      <x:c r="U33" t="str">
        <x:v>night called for FV-502 reflux flow control valve, air leak seen during valve stiction. Foud stiction; stem sticky and pos err. replaced positioner tubing and retuned small. no leak at handover. notif made by ops, maint attended same shift.</x:v>
      </x:c>
    </x:row>
    <x:row r="34" ht="15" hidden="0" customHeight="1">
      <x:c r="A34" t="str">
        <x:v>10450033</x:v>
      </x:c>
      <x:c r="B34" t="str">
        <x:v>40870033</x:v>
      </x:c>
      <x:c r="C34" t="str">
        <x:v>2021-07-21</x:v>
      </x:c>
      <x:c r="D34" t="str">
        <x:v>2021-07-21</x:v>
      </x:c>
      <x:c r="E34" t="str">
        <x:v>2021-07-22</x:v>
      </x:c>
      <x:c r="F34" t="str">
        <x:v>U400-DEETHANIZER-500</x:v>
      </x:c>
      <x:c r="G34" t="str">
        <x:v>E-503</x:v>
      </x:c>
      <x:c r="H34" t="str">
        <x:v>feed bottoms exchanger</x:v>
      </x:c>
      <x:c r="I34" t="str">
        <x:v>exchanger</x:v>
      </x:c>
      <x:c r="J34" t="str">
        <x:v>P3</x:v>
      </x:c>
      <x:c r="K34" t="str">
        <x:v>CLSD</x:v>
      </x:c>
      <x:c r="L34" t="str">
        <x:v>ANLYZR</x:v>
      </x:c>
      <x:c r="M34" t="str">
        <x:v>feed_flow_step</x:v>
      </x:c>
      <x:c r="N34" t="str">
        <x:v>temp approach bad</x:v>
      </x:c>
      <x:c r="O34" t="str">
        <x:v>PERF</x:v>
      </x:c>
      <x:c r="P34" t="str">
        <x:v>FOUL</x:v>
      </x:c>
      <x:c r="Q34" t="str">
        <x:v>N</x:v>
      </x:c>
      <x:c r="R34" t="str">
        <x:v>10.2</x:v>
      </x:c>
      <x:c r="S34" t="str">
        <x:v>13905.27</x:v>
      </x:c>
      <x:c r="T34" t="str">
        <x:v>E-503 temp approach bad again, prod upset</x:v>
      </x:c>
      <x:c r="U34" t="str">
        <x:v>C shift called for E-503 feed bottoms exchanger, column dp high seen during feed flow step. Foud temp approach bad; heat transfer loss. calibrated, loop checked with CCR. still little hunting but acceptable. notif made by ops, maint attended same shift.</x:v>
      </x:c>
    </x:row>
    <x:row r="35" ht="15" hidden="0" customHeight="1">
      <x:c r="A35" t="str">
        <x:v>10450034</x:v>
      </x:c>
      <x:c r="B35" t="str">
        <x:v>40870034</x:v>
      </x:c>
      <x:c r="C35" t="str">
        <x:v>2021-07-22</x:v>
      </x:c>
      <x:c r="D35" t="str">
        <x:v>2021-07-23</x:v>
      </x:c>
      <x:c r="E35" t="str">
        <x:v>2021-07-24</x:v>
      </x:c>
      <x:c r="F35" t="str">
        <x:v>U400-DEETHANIZER-500</x:v>
      </x:c>
      <x:c r="G35" t="str">
        <x:v>PSV-501A</x:v>
      </x:c>
      <x:c r="H35" t="str">
        <x:v>column relief valve A</x:v>
      </x:c>
      <x:c r="I35" t="str">
        <x:v>relief</x:v>
      </x:c>
      <x:c r="J35" t="str">
        <x:v>P2</x:v>
      </x:c>
      <x:c r="K35" t="str">
        <x:v>CLSD</x:v>
      </x:c>
      <x:c r="L35" t="str">
        <x:v>MECH</x:v>
      </x:c>
      <x:c r="M35" t="str">
        <x:v>pressure_control_fault</x:v>
      </x:c>
      <x:c r="N35" t="str">
        <x:v>seat passing</x:v>
      </x:c>
      <x:c r="O35" t="str">
        <x:v>LEAK_BY</x:v>
      </x:c>
      <x:c r="P35" t="str">
        <x:v>SEAT</x:v>
      </x:c>
      <x:c r="Q35" t="str">
        <x:v>N</x:v>
      </x:c>
      <x:c r="R35" t="str">
        <x:v>4.3</x:v>
      </x:c>
      <x:c r="S35" t="str">
        <x:v>2058.42</x:v>
      </x:c>
      <x:c r="T35" t="str">
        <x:v>chk PSV-501A - seat passing frm ops</x:v>
      </x:c>
      <x:c r="U35" t="str">
        <x:v>days called for PSV-501A column relief valve A, pshh close call seen during pressure control fault. Foud seat passing; tail pipe warm. Could not get permit first time waiting area gas test. calibrated, loop checked with CCR. need watch next feed swing. notif made by ops, maint attended same shift.</x:v>
      </x:c>
    </x:row>
    <x:row r="36" ht="15" hidden="0" customHeight="1">
      <x:c r="A36" t="str">
        <x:v>10450035</x:v>
      </x:c>
      <x:c r="B36" t="str">
        <x:v>40870035</x:v>
      </x:c>
      <x:c r="C36" t="str">
        <x:v>2021-07-24</x:v>
      </x:c>
      <x:c r="D36" t="str">
        <x:v>2021-07-24</x:v>
      </x:c>
      <x:c r="E36" t="str">
        <x:v>2021-07-27</x:v>
      </x:c>
      <x:c r="F36" t="str">
        <x:v>U400-DEETHANIZER-500</x:v>
      </x:c>
      <x:c r="G36" t="str">
        <x:v>TT-501B</x:v>
      </x:c>
      <x:c r="H36" t="str">
        <x:v>sensitive tray temperature tx</x:v>
      </x:c>
      <x:c r="I36" t="str">
        <x:v>instrument</x:v>
      </x:c>
      <x:c r="J36" t="str">
        <x:v>P3</x:v>
      </x:c>
      <x:c r="K36" t="str">
        <x:v>TECO</x:v>
      </x:c>
      <x:c r="L36" t="str">
        <x:v>INST</x:v>
      </x:c>
      <x:c r="M36" t="str">
        <x:v>reboiler_duty_loss</x:v>
      </x:c>
      <x:c r="N36" t="str">
        <x:v>bad reading</x:v>
      </x:c>
      <x:c r="O36" t="str">
        <x:v>DRIFT</x:v>
      </x:c>
      <x:c r="P36" t="str">
        <x:v>CAL</x:v>
      </x:c>
      <x:c r="Q36" t="str">
        <x:v>N</x:v>
      </x:c>
      <x:c r="R36" t="str">
        <x:v>3.4</x:v>
      </x:c>
      <x:c r="S36" t="str">
        <x:v>6239.24</x:v>
      </x:c>
      <x:c r="T36" t="str">
        <x:v>chk TT-501B - bad reading frm ops</x:v>
      </x:c>
      <x:c r="U36" t="str">
        <x:v>B shift called for TT-501B sensitive tray temperature tx, low heat seen during reboiler duty loss. Foud bad reading; needs calib. History shows same complain last mnth. tightened fittings, leak test ok. unit stable now. notif made by ops, maint attended same shift.</x:v>
      </x:c>
    </x:row>
    <x:row r="37" ht="15" hidden="0" customHeight="1">
      <x:c r="A37" t="str">
        <x:v>10450036</x:v>
      </x:c>
      <x:c r="B37" t="str">
        <x:v>40870036</x:v>
      </x:c>
      <x:c r="C37" t="str">
        <x:v>2021-07-24</x:v>
      </x:c>
      <x:c r="D37" t="str">
        <x:v>2021-07-24</x:v>
      </x:c>
      <x:c r="E37" t="str">
        <x:v>2021-07-26</x:v>
      </x:c>
      <x:c r="F37" t="str">
        <x:v>U400-DEETHANIZER-500</x:v>
      </x:c>
      <x:c r="G37" t="str">
        <x:v>TV-502</x:v>
      </x:c>
      <x:c r="H37" t="str">
        <x:v>condenser cooling valve</x:v>
      </x:c>
      <x:c r="I37" t="str">
        <x:v>control_valve</x:v>
      </x:c>
      <x:c r="J37" t="str">
        <x:v>P3</x:v>
      </x:c>
      <x:c r="K37" t="str">
        <x:v>TECO</x:v>
      </x:c>
      <x:c r="L37" t="str">
        <x:v>ROT</x:v>
      </x:c>
      <x:c r="M37" t="str">
        <x:v>condenser_fouling</x:v>
      </x:c>
      <x:c r="N37" t="str">
        <x:v>not stroking</x:v>
      </x:c>
      <x:c r="O37" t="str">
        <x:v>NO_TRAVEL</x:v>
      </x:c>
      <x:c r="P37" t="str">
        <x:v>ACT</x:v>
      </x:c>
      <x:c r="Q37" t="str">
        <x:v>N</x:v>
      </x:c>
      <x:c r="R37" t="str">
        <x:v>17.8</x:v>
      </x:c>
      <x:c r="S37" t="str">
        <x:v>1010.96</x:v>
      </x:c>
      <x:c r="T37" t="str">
        <x:v>TV-502 cw dt low, not stroking</x:v>
      </x:c>
      <x:c r="U37" t="str">
        <x:v>C shift called for TV-502 condenser cooling valve, cw dt low seen during condenser fouling. Foud not stroking; actuator weak. No spare in store at first, used refurb one from shop. changed gasket and boxed up. ops says ok for now. notif made by ops, maint attended same shift.</x:v>
      </x:c>
    </x:row>
    <x:row r="38" ht="15" hidden="0" customHeight="1">
      <x:c r="A38" t="str">
        <x:v>10450037</x:v>
      </x:c>
      <x:c r="B38" t="str">
        <x:v>40870037</x:v>
      </x:c>
      <x:c r="C38" t="str">
        <x:v>2021-07-23</x:v>
      </x:c>
      <x:c r="D38" t="str">
        <x:v>2021-07-25</x:v>
      </x:c>
      <x:c r="E38" t="str">
        <x:v>2021-07-26</x:v>
      </x:c>
      <x:c r="F38" t="str">
        <x:v>U400-DEETHANIZER-500</x:v>
      </x:c>
      <x:c r="G38" t="str">
        <x:v>P-501A</x:v>
      </x:c>
      <x:c r="H38" t="str">
        <x:v>reflux pump A</x:v>
      </x:c>
      <x:c r="I38" t="str">
        <x:v>pump</x:v>
      </x:c>
      <x:c r="J38" t="str">
        <x:v>P2</x:v>
      </x:c>
      <x:c r="K38" t="str">
        <x:v>CLSD</x:v>
      </x:c>
      <x:c r="L38" t="str">
        <x:v>ANLYZR</x:v>
      </x:c>
      <x:c r="M38" t="str">
        <x:v>reflux_pump_degradation</x:v>
      </x:c>
      <x:c r="N38" t="str">
        <x:v>vib high</x:v>
      </x:c>
      <x:c r="O38" t="str">
        <x:v>VIB</x:v>
      </x:c>
      <x:c r="P38" t="str">
        <x:v>ALIGN</x:v>
      </x:c>
      <x:c r="Q38" t="str">
        <x:v>N</x:v>
      </x:c>
      <x:c r="R38" t="str">
        <x:v>3.5</x:v>
      </x:c>
      <x:c r="S38" t="str">
        <x:v>7881.14</x:v>
      </x:c>
      <x:c r="T38" t="str">
        <x:v>P-501A not ok after reflux pump degradation</x:v>
      </x:c>
      <x:c r="U38" t="str">
        <x:v>C shift called for P-501A reflux pump A, min flow hot seen during reflux pump degradation. Foud vib high; coupling align or cavitation. History shows same complain last mnth. reset trip and monitored for 2 hrs. no leak at handover. notif made by ops, maint attended same shift.</x:v>
      </x:c>
    </x:row>
    <x:row r="39" ht="15" hidden="0" customHeight="1">
      <x:c r="A39" t="str">
        <x:v>10450038</x:v>
      </x:c>
      <x:c r="B39" t="str">
        <x:v>40870038</x:v>
      </x:c>
      <x:c r="C39" t="str">
        <x:v>2021-07-28</x:v>
      </x:c>
      <x:c r="D39" t="str">
        <x:v>2021-07-30</x:v>
      </x:c>
      <x:c r="E39" t="str">
        <x:v>2021-07-30</x:v>
      </x:c>
      <x:c r="F39" t="str">
        <x:v>U400-DEETHANIZER-500</x:v>
      </x:c>
      <x:c r="G39" t="str">
        <x:v>P-501B</x:v>
      </x:c>
      <x:c r="H39" t="str">
        <x:v>reflux pump B</x:v>
      </x:c>
      <x:c r="I39" t="str">
        <x:v>pump</x:v>
      </x:c>
      <x:c r="J39" t="str">
        <x:v>P3</x:v>
      </x:c>
      <x:c r="K39" t="str">
        <x:v>TECO</x:v>
      </x:c>
      <x:c r="L39" t="str">
        <x:v>VALVE</x:v>
      </x:c>
      <x:c r="M39" t="str">
        <x:v>reflux_pump_degradation</x:v>
      </x:c>
      <x:c r="N39" t="str">
        <x:v>bearing hot</x:v>
      </x:c>
      <x:c r="O39" t="str">
        <x:v>BRG</x:v>
      </x:c>
      <x:c r="P39" t="str">
        <x:v>WEAR</x:v>
      </x:c>
      <x:c r="Q39" t="str">
        <x:v>N</x:v>
      </x:c>
      <x:c r="R39" t="str">
        <x:v>10.5</x:v>
      </x:c>
      <x:c r="S39" t="str">
        <x:v>2052.72</x:v>
      </x:c>
      <x:c r="T39" t="str">
        <x:v>P-501B bearing hot again, prod upset</x:v>
      </x:c>
      <x:c r="U39" t="str">
        <x:v>night called for P-501B reflux pump B, min flow hot seen during reflux pump degradation. Foud bearing hot; brg rough, lube dark. flushed impulse/sample line. no leak at handover. notif made by ops, maint attended same shift.</x:v>
      </x:c>
    </x:row>
    <x:row r="40" ht="15" hidden="0" customHeight="1">
      <x:c r="A40" t="str">
        <x:v>10450039</x:v>
      </x:c>
      <x:c r="B40" t="str">
        <x:v>40870039</x:v>
      </x:c>
      <x:c r="C40" t="str">
        <x:v>2021-07-31</x:v>
      </x:c>
      <x:c r="D40" t="str">
        <x:v>2021-08-01</x:v>
      </x:c>
      <x:c r="E40" t="str">
        <x:v>2021-08-01</x:v>
      </x:c>
      <x:c r="F40" t="str">
        <x:v>U400-DEETHANIZER-500</x:v>
      </x:c>
      <x:c r="G40" t="str">
        <x:v>P-501B</x:v>
      </x:c>
      <x:c r="H40" t="str">
        <x:v>reflux pump B</x:v>
      </x:c>
      <x:c r="I40" t="str">
        <x:v>pump</x:v>
      </x:c>
      <x:c r="J40" t="str">
        <x:v>P3</x:v>
      </x:c>
      <x:c r="K40" t="str">
        <x:v>COMP</x:v>
      </x:c>
      <x:c r="L40" t="str">
        <x:v>VALVE</x:v>
      </x:c>
      <x:c r="M40" t="str">
        <x:v>feed_composition_shift</x:v>
      </x:c>
      <x:c r="N40" t="str">
        <x:v>motor trip</x:v>
      </x:c>
      <x:c r="O40" t="str">
        <x:v>MOTOR</x:v>
      </x:c>
      <x:c r="P40" t="str">
        <x:v>ELEC</x:v>
      </x:c>
      <x:c r="Q40" t="str">
        <x:v>N</x:v>
      </x:c>
      <x:c r="R40" t="str">
        <x:v>6.7</x:v>
      </x:c>
      <x:c r="S40" t="str">
        <x:v>11259.45</x:v>
      </x:c>
      <x:c r="T40" t="str">
        <x:v>P-501B c3 in feed hi, motor trip</x:v>
      </x:c>
      <x:c r="U40" t="str">
        <x:v>days called for P-501B reflux pump B, anlyzr off seen during feed composition shift. Foud motor trip; overload trip after upset. tightened fittings, leak test ok. readng close to dcs after job. notif made by ops, maint attended same shift.</x:v>
      </x:c>
    </x:row>
    <x:row r="41" ht="15" hidden="0" customHeight="1">
      <x:c r="A41" t="str">
        <x:v>10450040</x:v>
      </x:c>
      <x:c r="B41" t="str">
        <x:v>40870040</x:v>
      </x:c>
      <x:c r="C41" t="str">
        <x:v>2021-08-01</x:v>
      </x:c>
      <x:c r="D41" t="str">
        <x:v>2021-08-03</x:v>
      </x:c>
      <x:c r="E41" t="str">
        <x:v>2021-08-04</x:v>
      </x:c>
      <x:c r="F41" t="str">
        <x:v>U400-DEETHANIZER-500</x:v>
      </x:c>
      <x:c r="G41" t="str">
        <x:v>TV-501</x:v>
      </x:c>
      <x:c r="H41" t="str">
        <x:v>reboiler hot medium valve</x:v>
      </x:c>
      <x:c r="I41" t="str">
        <x:v>control_valve</x:v>
      </x:c>
      <x:c r="J41" t="str">
        <x:v>P4</x:v>
      </x:c>
      <x:c r="K41" t="str">
        <x:v>COMP</x:v>
      </x:c>
      <x:c r="L41" t="str">
        <x:v>ANLYZR</x:v>
      </x:c>
      <x:c r="M41" t="str">
        <x:v>feed_temperature_ramp</x:v>
      </x:c>
      <x:c r="N41" t="str">
        <x:v>not stroking</x:v>
      </x:c>
      <x:c r="O41" t="str">
        <x:v>NO_TRAVEL</x:v>
      </x:c>
      <x:c r="P41" t="str">
        <x:v>ACT</x:v>
      </x:c>
      <x:c r="Q41" t="str">
        <x:v>N</x:v>
      </x:c>
      <x:c r="R41" t="str">
        <x:v>11.0</x:v>
      </x:c>
      <x:c r="S41" t="str">
        <x:v>2672.83</x:v>
      </x:c>
      <x:c r="T41" t="str">
        <x:v>TV-501 not ok after feed temperature ramp</x:v>
      </x:c>
      <x:c r="U41" t="str">
        <x:v>C shift called for TV-501 reboiler hot medium valve, tray temp drift seen during feed temperature ramp. Foud not stroking; actuator weak. cleaned and put back online. no leak at handover. notif made by ops, maint attended same shift.</x:v>
      </x:c>
    </x:row>
    <x:row r="42" ht="15" hidden="0" customHeight="1">
      <x:c r="A42" t="str">
        <x:v>10450041</x:v>
      </x:c>
      <x:c r="B42" t="str">
        <x:v>40870041</x:v>
      </x:c>
      <x:c r="C42" t="str">
        <x:v>2021-08-02</x:v>
      </x:c>
      <x:c r="D42" t="str">
        <x:v>2021-08-03</x:v>
      </x:c>
      <x:c r="E42" t="str">
        <x:v>2021-08-05</x:v>
      </x:c>
      <x:c r="F42" t="str">
        <x:v>U400-DEETHANIZER-500</x:v>
      </x:c>
      <x:c r="G42" t="str">
        <x:v>T-501</x:v>
      </x:c>
      <x:c r="H42" t="str">
        <x:v>deethanizer column</x:v>
      </x:c>
      <x:c r="I42" t="str">
        <x:v>column</x:v>
      </x:c>
      <x:c r="J42" t="str">
        <x:v>P3</x:v>
      </x:c>
      <x:c r="K42" t="str">
        <x:v>TECO</x:v>
      </x:c>
      <x:c r="L42" t="str">
        <x:v>MECH</x:v>
      </x:c>
      <x:c r="M42" t="str">
        <x:v>pressure_control_fault</x:v>
      </x:c>
      <x:c r="N42" t="str">
        <x:v>dp high</x:v>
      </x:c>
      <x:c r="O42" t="str">
        <x:v>DP_HIGH</x:v>
      </x:c>
      <x:c r="P42" t="str">
        <x:v>FOAM</x:v>
      </x:c>
      <x:c r="Q42" t="str">
        <x:v>N</x:v>
      </x:c>
      <x:c r="R42" t="str">
        <x:v>15.3</x:v>
      </x:c>
      <x:c r="S42" t="str">
        <x:v>87.65</x:v>
      </x:c>
      <x:c r="T42" t="str">
        <x:v>T-501 pic unstable, dp high</x:v>
      </x:c>
      <x:c r="U42" t="str">
        <x:v>B shift called for T-501 deethanizer column, pv not movng seen during pressure control fault. Foud dp high; trays loading or foaming. No spare in store at first, used refurb one from shop. tightened fittings, leak test ok. readng close to dcs after job. notif made by ops, maint attended same shift.</x:v>
      </x:c>
    </x:row>
    <x:row r="43" ht="15" hidden="0" customHeight="1">
      <x:c r="A43" t="str">
        <x:v>10450042</x:v>
      </x:c>
      <x:c r="B43" t="str">
        <x:v>40870042</x:v>
      </x:c>
      <x:c r="C43" t="str">
        <x:v>2021-07-30</x:v>
      </x:c>
      <x:c r="D43" t="str">
        <x:v>2021-07-31</x:v>
      </x:c>
      <x:c r="E43" t="str">
        <x:v>2021-08-01</x:v>
      </x:c>
      <x:c r="F43" t="str">
        <x:v>U400-DEETHANIZER-500</x:v>
      </x:c>
      <x:c r="G43" t="str">
        <x:v>PV-501</x:v>
      </x:c>
      <x:c r="H43" t="str">
        <x:v>column pressure control valve</x:v>
      </x:c>
      <x:c r="I43" t="str">
        <x:v>control_valve</x:v>
      </x:c>
      <x:c r="J43" t="str">
        <x:v>P2</x:v>
      </x:c>
      <x:c r="K43" t="str">
        <x:v>COMP</x:v>
      </x:c>
      <x:c r="L43" t="str">
        <x:v>VALVE</x:v>
      </x:c>
      <x:c r="M43" t="str">
        <x:v>condenser_fouling</x:v>
      </x:c>
      <x:c r="N43" t="str">
        <x:v>passing</x:v>
      </x:c>
      <x:c r="O43" t="str">
        <x:v>LEAK_BY</x:v>
      </x:c>
      <x:c r="P43" t="str">
        <x:v>SEAT</x:v>
      </x:c>
      <x:c r="Q43" t="str">
        <x:v>N</x:v>
      </x:c>
      <x:c r="R43" t="str">
        <x:v>13.2</x:v>
      </x:c>
      <x:c r="S43" t="str">
        <x:v>666.97</x:v>
      </x:c>
      <x:c r="T43" t="str">
        <x:v>PV-501 not ok after condenser fouling</x:v>
      </x:c>
      <x:c r="U43" t="str">
        <x:v>days called for PV-501 column pressure control valve, cw dt low seen during condenser fouling. Foud passing; seat leak by. opened strainer, cleaned black sludge. readng close to dcs after job. notif made by ops, maint attended same shift.</x:v>
      </x:c>
    </x:row>
    <x:row r="44" ht="15" hidden="0" customHeight="1">
      <x:c r="A44" t="str">
        <x:v>10450043</x:v>
      </x:c>
      <x:c r="B44" t="str">
        <x:v>40870043</x:v>
      </x:c>
      <x:c r="C44" t="str">
        <x:v>2021-08-01</x:v>
      </x:c>
      <x:c r="D44" t="str">
        <x:v>2021-08-03</x:v>
      </x:c>
      <x:c r="E44" t="str">
        <x:v>2021-08-05</x:v>
      </x:c>
      <x:c r="F44" t="str">
        <x:v>U400-DEETHANIZER-500</x:v>
      </x:c>
      <x:c r="G44" t="str">
        <x:v>PV-501</x:v>
      </x:c>
      <x:c r="H44" t="str">
        <x:v>column pressure control valve</x:v>
      </x:c>
      <x:c r="I44" t="str">
        <x:v>control_valve</x:v>
      </x:c>
      <x:c r="J44" t="str">
        <x:v>P3</x:v>
      </x:c>
      <x:c r="K44" t="str">
        <x:v>TECO</x:v>
      </x:c>
      <x:c r="L44" t="str">
        <x:v>INST</x:v>
      </x:c>
      <x:c r="M44" t="str">
        <x:v>condenser_fouling</x:v>
      </x:c>
      <x:c r="N44" t="str">
        <x:v>not stroking</x:v>
      </x:c>
      <x:c r="O44" t="str">
        <x:v>NO_TRAVEL</x:v>
      </x:c>
      <x:c r="P44" t="str">
        <x:v>ACT</x:v>
      </x:c>
      <x:c r="Q44" t="str">
        <x:v>N</x:v>
      </x:c>
      <x:c r="R44" t="str">
        <x:v>14.9</x:v>
      </x:c>
      <x:c r="S44" t="str">
        <x:v>3906.88</x:v>
      </x:c>
      <x:c r="T44" t="str">
        <x:v>PV-501 not stroking temp fix</x:v>
      </x:c>
      <x:c r="U44" t="str">
        <x:v>A shift called for PV-501 column pressure control valve, cond not pullng seen during condenser fouling. Foud not stroking; actuator weak. swapped to standby and repaired. no leak at handover. notif made by ops, maint attended same shift.</x:v>
      </x:c>
    </x:row>
    <x:row r="45" ht="15" hidden="0" customHeight="1">
      <x:c r="A45" t="str">
        <x:v>10450044</x:v>
      </x:c>
      <x:c r="B45" t="str">
        <x:v>40870044</x:v>
      </x:c>
      <x:c r="C45" t="str">
        <x:v>2021-08-06</x:v>
      </x:c>
      <x:c r="D45" t="str">
        <x:v>2021-08-07</x:v>
      </x:c>
      <x:c r="E45" t="str">
        <x:v>2021-08-07</x:v>
      </x:c>
      <x:c r="F45" t="str">
        <x:v>U400-DEETHANIZER-500</x:v>
      </x:c>
      <x:c r="G45" t="str">
        <x:v>AIT-501</x:v>
      </x:c>
      <x:c r="H45" t="str">
        <x:v>overhead C2 analyzer</x:v>
      </x:c>
      <x:c r="I45" t="str">
        <x:v>analyzer</x:v>
      </x:c>
      <x:c r="J45" t="str">
        <x:v>P3</x:v>
      </x:c>
      <x:c r="K45" t="str">
        <x:v>COMP</x:v>
      </x:c>
      <x:c r="L45" t="str">
        <x:v>ANLYZR</x:v>
      </x:c>
      <x:c r="M45" t="str">
        <x:v>normal_wear</x:v>
      </x:c>
      <x:c r="N45" t="str">
        <x:v>condensate in sample</x:v>
      </x:c>
      <x:c r="O45" t="str">
        <x:v>LIQ_CARRY</x:v>
      </x:c>
      <x:c r="P45" t="str">
        <x:v>SAMPLE</x:v>
      </x:c>
      <x:c r="Q45" t="str">
        <x:v>N</x:v>
      </x:c>
      <x:c r="R45" t="str">
        <x:v>4.8</x:v>
      </x:c>
      <x:c r="S45" t="str">
        <x:v>4495.07</x:v>
      </x:c>
      <x:c r="T45" t="str">
        <x:v>AIT-501 bad reading, condensate in sample</x:v>
      </x:c>
      <x:c r="U45" t="str">
        <x:v>B shift called for AIT-501 overhead C2 analyzer, leak seen during normal wear. Foud condensate in sample; knockout pot full. calibrated, loop chekd with CCR. need watch next feed swing. notif made by ops, maint attended same shift.</x:v>
      </x:c>
    </x:row>
    <x:row r="46" ht="15" hidden="0" customHeight="1">
      <x:c r="A46" t="str">
        <x:v>10450045</x:v>
      </x:c>
      <x:c r="B46" t="str">
        <x:v>40870045</x:v>
      </x:c>
      <x:c r="C46" t="str">
        <x:v>2021-08-08</x:v>
      </x:c>
      <x:c r="D46" t="str">
        <x:v>2021-08-08</x:v>
      </x:c>
      <x:c r="E46" t="str">
        <x:v>2021-08-08</x:v>
      </x:c>
      <x:c r="F46" t="str">
        <x:v>U400-DEETHANIZER-500</x:v>
      </x:c>
      <x:c r="G46" t="str">
        <x:v>LV-502</x:v>
      </x:c>
      <x:c r="H46" t="str">
        <x:v>bottoms level valve</x:v>
      </x:c>
      <x:c r="I46" t="str">
        <x:v>control_valve</x:v>
      </x:c>
      <x:c r="J46" t="str">
        <x:v>P2</x:v>
      </x:c>
      <x:c r="K46" t="str">
        <x:v>TECO</x:v>
      </x:c>
      <x:c r="L46" t="str">
        <x:v>E&amp;I</x:v>
      </x:c>
      <x:c r="M46" t="str">
        <x:v>valve_stiction</x:v>
      </x:c>
      <x:c r="N46" t="str">
        <x:v>air leak</x:v>
      </x:c>
      <x:c r="O46" t="str">
        <x:v>AIR_LEAK</x:v>
      </x:c>
      <x:c r="P46" t="str">
        <x:v>TUBING</x:v>
      </x:c>
      <x:c r="Q46" t="str">
        <x:v>N</x:v>
      </x:c>
      <x:c r="R46" t="str">
        <x:v>16.0</x:v>
      </x:c>
      <x:c r="S46" t="str">
        <x:v>5211.41</x:v>
      </x:c>
      <x:c r="T46" t="str">
        <x:v>LV-502 loop cycling, air leak</x:v>
      </x:c>
      <x:c r="U46" t="str">
        <x:v>B shift called for LV-502 bottoms level vavle, op jumps seen during vavle stiction. Foud air leak; positioner supply drop. stroke tested, response better. still little hunting but acceptable. notif made by ops, maint attended same shift.</x:v>
      </x:c>
    </x:row>
    <x:row r="47" ht="15" hidden="0" customHeight="1">
      <x:c r="A47" t="str">
        <x:v>10450046</x:v>
      </x:c>
      <x:c r="B47" t="str">
        <x:v>40870046</x:v>
      </x:c>
      <x:c r="C47" t="str">
        <x:v>2021-08-05</x:v>
      </x:c>
      <x:c r="D47" t="str">
        <x:v>2021-08-07</x:v>
      </x:c>
      <x:c r="E47" t="str">
        <x:v>2021-08-14</x:v>
      </x:c>
      <x:c r="F47" t="str">
        <x:v>U400-DEETHANIZER-500</x:v>
      </x:c>
      <x:c r="G47" t="str">
        <x:v>P-502A</x:v>
      </x:c>
      <x:c r="H47" t="str">
        <x:v>bottoms pump A</x:v>
      </x:c>
      <x:c r="I47" t="str">
        <x:v>pump</x:v>
      </x:c>
      <x:c r="J47" t="str">
        <x:v>P2</x:v>
      </x:c>
      <x:c r="K47" t="str">
        <x:v>TECO</x:v>
      </x:c>
      <x:c r="L47" t="str">
        <x:v>ANLYZR</x:v>
      </x:c>
      <x:c r="M47" t="str">
        <x:v>feed_temperature_ramp</x:v>
      </x:c>
      <x:c r="N47" t="str">
        <x:v>bearing hot</x:v>
      </x:c>
      <x:c r="O47" t="str">
        <x:v>BRG</x:v>
      </x:c>
      <x:c r="P47" t="str">
        <x:v>WEAR</x:v>
      </x:c>
      <x:c r="Q47" t="str">
        <x:v>Y</x:v>
      </x:c>
      <x:c r="R47" t="str">
        <x:v>22.2</x:v>
      </x:c>
      <x:c r="S47" t="str">
        <x:v>2754.58</x:v>
      </x:c>
      <x:c r="T47" t="str">
        <x:v>P-502A bearing hot again, prod upset</x:v>
      </x:c>
      <x:c r="U47" t="str">
        <x:v>A shift called for P-502A bottoms pump A, tray temp drift seen during feed temperature ramp. Foud bearing hot; brg rough, lube dark. changed gasket and boxed up. readng close to dcs after job. notif made by ops, maint attended same shift.</x:v>
      </x:c>
    </x:row>
    <x:row r="48" ht="15" hidden="0" customHeight="1">
      <x:c r="A48" t="str">
        <x:v>10450047</x:v>
      </x:c>
      <x:c r="B48" t="str">
        <x:v>40870047</x:v>
      </x:c>
      <x:c r="C48" t="str">
        <x:v>2021-08-07</x:v>
      </x:c>
      <x:c r="D48" t="str">
        <x:v>2021-08-07</x:v>
      </x:c>
      <x:c r="E48" t="str">
        <x:v>2021-08-09</x:v>
      </x:c>
      <x:c r="F48" t="str">
        <x:v>U400-DEETHANIZER-500</x:v>
      </x:c>
      <x:c r="G48" t="str">
        <x:v>FV-502</x:v>
      </x:c>
      <x:c r="H48" t="str">
        <x:v>reflux flow control valve</x:v>
      </x:c>
      <x:c r="I48" t="str">
        <x:v>control_valve</x:v>
      </x:c>
      <x:c r="J48" t="str">
        <x:v>P4</x:v>
      </x:c>
      <x:c r="K48" t="str">
        <x:v>TECO</x:v>
      </x:c>
      <x:c r="L48" t="str">
        <x:v>ANLYZR</x:v>
      </x:c>
      <x:c r="M48" t="str">
        <x:v>reflux_pump_degradation</x:v>
      </x:c>
      <x:c r="N48" t="str">
        <x:v>stiction</x:v>
      </x:c>
      <x:c r="O48" t="str">
        <x:v>STICK</x:v>
      </x:c>
      <x:c r="P48" t="str">
        <x:v>PACKING</x:v>
      </x:c>
      <x:c r="Q48" t="str">
        <x:v>N</x:v>
      </x:c>
      <x:c r="R48" t="str">
        <x:v>8.3</x:v>
      </x:c>
      <x:c r="S48" t="str">
        <x:v>336.32</x:v>
      </x:c>
      <x:c r="T48" t="str">
        <x:v>FV-502 stiction again, prod upset</x:v>
      </x:c>
      <x:c r="U48" t="str">
        <x:v>A shift called for FV-502 reflux flow ctrl valve, low reflux seen during reflux pump degradation. Foud stiction; stem sticky and pos err. No spare in store at first, used refurb one from shop. flushed impulse/sample line. need watch next feed swing. notif made by ops, maint attended same shift.</x:v>
      </x:c>
    </x:row>
    <x:row r="49" ht="15" hidden="0" customHeight="1">
      <x:c r="A49" t="str">
        <x:v>10450048</x:v>
      </x:c>
      <x:c r="B49" t="str">
        <x:v>40870048</x:v>
      </x:c>
      <x:c r="C49" t="str">
        <x:v>2021-08-09</x:v>
      </x:c>
      <x:c r="D49" t="str">
        <x:v>2021-08-09</x:v>
      </x:c>
      <x:c r="E49" t="str">
        <x:v>2021-08-09</x:v>
      </x:c>
      <x:c r="F49" t="str">
        <x:v>U400-DEETHANIZER-500</x:v>
      </x:c>
      <x:c r="G49" t="str">
        <x:v>E-503</x:v>
      </x:c>
      <x:c r="H49" t="str">
        <x:v>feed bottoms exchanger</x:v>
      </x:c>
      <x:c r="I49" t="str">
        <x:v>exchanger</x:v>
      </x:c>
      <x:c r="J49" t="str">
        <x:v>P3</x:v>
      </x:c>
      <x:c r="K49" t="str">
        <x:v>TECO</x:v>
      </x:c>
      <x:c r="L49" t="str">
        <x:v>E&amp;I</x:v>
      </x:c>
      <x:c r="M49" t="str">
        <x:v>feed_temperature_ramp</x:v>
      </x:c>
      <x:c r="N49" t="str">
        <x:v>plugged pass</x:v>
      </x:c>
      <x:c r="O49" t="str">
        <x:v>PLUG</x:v>
      </x:c>
      <x:c r="P49" t="str">
        <x:v>FOUL</x:v>
      </x:c>
      <x:c r="Q49" t="str">
        <x:v>N</x:v>
      </x:c>
      <x:c r="R49" t="str">
        <x:v>14.3</x:v>
      </x:c>
      <x:c r="S49" t="str">
        <x:v>5542.67</x:v>
      </x:c>
      <x:c r="T49" t="str">
        <x:v>E-503 plugged pass again, prod upset</x:v>
      </x:c>
      <x:c r="U49" t="str">
        <x:v>B shift called for E-503 feed bottoms exchanger, ovhd press moving seen during feed temperature ramp. Foud plugged pass; flow restricted. calibrated, loop checked with CCR. need watch next feed swing. notif made by ops, maint attended same shift.</x:v>
      </x:c>
    </x:row>
    <x:row r="50" ht="15" hidden="0" customHeight="1">
      <x:c r="A50" t="str">
        <x:v>10450049</x:v>
      </x:c>
      <x:c r="B50" t="str">
        <x:v>40870049</x:v>
      </x:c>
      <x:c r="C50" t="str">
        <x:v>2021-08-10</x:v>
      </x:c>
      <x:c r="D50" t="str">
        <x:v>2021-08-11</x:v>
      </x:c>
      <x:c r="E50" t="str">
        <x:v>2021-08-12</x:v>
      </x:c>
      <x:c r="F50" t="str">
        <x:v>U400-DEETHANIZER-500</x:v>
      </x:c>
      <x:c r="G50" t="str">
        <x:v>FT-502</x:v>
      </x:c>
      <x:c r="H50" t="str">
        <x:v>reflux flow transmitter</x:v>
      </x:c>
      <x:c r="I50" t="str">
        <x:v>instrument</x:v>
      </x:c>
      <x:c r="J50" t="str">
        <x:v>P4</x:v>
      </x:c>
      <x:c r="K50" t="str">
        <x:v>COMP</x:v>
      </x:c>
      <x:c r="L50" t="str">
        <x:v>INST</x:v>
      </x:c>
      <x:c r="M50" t="str">
        <x:v>reflux_pump_degradation</x:v>
      </x:c>
      <x:c r="N50" t="str">
        <x:v>bad reading</x:v>
      </x:c>
      <x:c r="O50" t="str">
        <x:v>DRIFT</x:v>
      </x:c>
      <x:c r="P50" t="str">
        <x:v>CAL</x:v>
      </x:c>
      <x:c r="Q50" t="str">
        <x:v>N</x:v>
      </x:c>
      <x:c r="R50" t="str">
        <x:v>16.1</x:v>
      </x:c>
      <x:c r="S50" t="str">
        <x:v>3862.14</x:v>
      </x:c>
      <x:c r="T50" t="str">
        <x:v>FT-502 not ok after reflux pump degradation</x:v>
      </x:c>
      <x:c r="U50" t="str">
        <x:v>days called for FT-502 reflux flow transmitter, low reflux seen during reflux pump degradation. Foud bad reading; needs calib. replaced positioner tubing and retuned small. still little hunting but acceptable. notif made by ops, maint attended same shift.</x:v>
      </x:c>
    </x:row>
    <x:row r="51" ht="15" hidden="0" customHeight="1">
      <x:c r="A51" t="str">
        <x:v>10450050</x:v>
      </x:c>
      <x:c r="B51" t="str">
        <x:v>40870050</x:v>
      </x:c>
      <x:c r="C51" t="str">
        <x:v>2021-08-15</x:v>
      </x:c>
      <x:c r="D51" t="str">
        <x:v>2021-08-15</x:v>
      </x:c>
      <x:c r="E51" t="str">
        <x:v>2021-08-22</x:v>
      </x:c>
      <x:c r="F51" t="str">
        <x:v>U400-DEETHANIZER-500</x:v>
      </x:c>
      <x:c r="G51" t="str">
        <x:v>FV-501</x:v>
      </x:c>
      <x:c r="H51" t="str">
        <x:v>feed flow control valve</x:v>
      </x:c>
      <x:c r="I51" t="str">
        <x:v>control_valve</x:v>
      </x:c>
      <x:c r="J51" t="str">
        <x:v>P3</x:v>
      </x:c>
      <x:c r="K51" t="str">
        <x:v>COMP</x:v>
      </x:c>
      <x:c r="L51" t="str">
        <x:v>OPS+INST</x:v>
      </x:c>
      <x:c r="M51" t="str">
        <x:v>feed_flow_step</x:v>
      </x:c>
      <x:c r="N51" t="str">
        <x:v>stiction</x:v>
      </x:c>
      <x:c r="O51" t="str">
        <x:v>STICK</x:v>
      </x:c>
      <x:c r="P51" t="str">
        <x:v>PACKING</x:v>
      </x:c>
      <x:c r="Q51" t="str">
        <x:v>N</x:v>
      </x:c>
      <x:c r="R51" t="str">
        <x:v>8.4</x:v>
      </x:c>
      <x:c r="S51" t="str">
        <x:v>3024.0</x:v>
      </x:c>
      <x:c r="T51" t="str">
        <x:v>FV-501 colmn dp high, stiction</x:v>
      </x:c>
      <x:c r="U51" t="str">
        <x:v>C shift called for FV-501 feed flow control valve, column dp high seen during feed flow step. Foud stiction; stem sticky and pos err. opened strainer, cleaned black sludge. no leak at handover. notif made by ops, maint attended same shift.</x:v>
      </x:c>
    </x:row>
    <x:row r="52" ht="15" hidden="0" customHeight="1">
      <x:c r="A52" t="str">
        <x:v>10450051</x:v>
      </x:c>
      <x:c r="B52" t="str">
        <x:v>40870051</x:v>
      </x:c>
      <x:c r="C52" t="str">
        <x:v>2021-08-16</x:v>
      </x:c>
      <x:c r="D52" t="str">
        <x:v>2021-08-18</x:v>
      </x:c>
      <x:c r="E52" t="str">
        <x:v>2021-08-21</x:v>
      </x:c>
      <x:c r="F52" t="str">
        <x:v>U400-DEETHANIZER-500</x:v>
      </x:c>
      <x:c r="G52" t="str">
        <x:v>P-502B</x:v>
      </x:c>
      <x:c r="H52" t="str">
        <x:v>bottoms pump B</x:v>
      </x:c>
      <x:c r="I52" t="str">
        <x:v>pump</x:v>
      </x:c>
      <x:c r="J52" t="str">
        <x:v>P4</x:v>
      </x:c>
      <x:c r="K52" t="str">
        <x:v>CLSD</x:v>
      </x:c>
      <x:c r="L52" t="str">
        <x:v>VALVE</x:v>
      </x:c>
      <x:c r="M52" t="str">
        <x:v>feed_temperature_ramp</x:v>
      </x:c>
      <x:c r="N52" t="str">
        <x:v>low disch press</x:v>
      </x:c>
      <x:c r="O52" t="str">
        <x:v>HYD_LOSS</x:v>
      </x:c>
      <x:c r="P52" t="str">
        <x:v>FOUL</x:v>
      </x:c>
      <x:c r="Q52" t="str">
        <x:v>N</x:v>
      </x:c>
      <x:c r="R52" t="str">
        <x:v>16.4</x:v>
      </x:c>
      <x:c r="S52" t="str">
        <x:v>13087.11</x:v>
      </x:c>
      <x:c r="T52" t="str">
        <x:v>P-502B low disch press again, prod upset</x:v>
      </x:c>
      <x:c r="U52" t="str">
        <x:v>night called for P-502B bottoms pump B, rb duty up seen during feed temperature ramp. Foud low disch press; strainer dirty or impeller wear. No spare in store at first, used refurb one from shop. replaced positioner tubing and retuned small. temp repair only, plan shutdown job. notif made by ops, maint attended same shift.</x:v>
      </x:c>
    </x:row>
    <x:row r="53" ht="15" hidden="0" customHeight="1">
      <x:c r="A53" t="str">
        <x:v>10450052</x:v>
      </x:c>
      <x:c r="B53" t="str">
        <x:v>40870052</x:v>
      </x:c>
      <x:c r="C53" t="str">
        <x:v>2021-08-14</x:v>
      </x:c>
      <x:c r="D53" t="str">
        <x:v>2021-08-14</x:v>
      </x:c>
      <x:c r="E53" t="str">
        <x:v>2021-08-14</x:v>
      </x:c>
      <x:c r="F53" t="str">
        <x:v>U400-DEETHANIZER-500</x:v>
      </x:c>
      <x:c r="G53" t="str">
        <x:v>TT-503</x:v>
      </x:c>
      <x:c r="H53" t="str">
        <x:v>reboiler outlet temperature tx</x:v>
      </x:c>
      <x:c r="I53" t="str">
        <x:v>instrument</x:v>
      </x:c>
      <x:c r="J53" t="str">
        <x:v>P2</x:v>
      </x:c>
      <x:c r="K53" t="str">
        <x:v>CLSD</x:v>
      </x:c>
      <x:c r="L53" t="str">
        <x:v>E&amp;I</x:v>
      </x:c>
      <x:c r="M53" t="str">
        <x:v>reboiler_duty_loss</x:v>
      </x:c>
      <x:c r="N53" t="str">
        <x:v>range err</x:v>
      </x:c>
      <x:c r="O53" t="str">
        <x:v>SPAN</x:v>
      </x:c>
      <x:c r="P53" t="str">
        <x:v>CAL</x:v>
      </x:c>
      <x:c r="Q53" t="str">
        <x:v>N</x:v>
      </x:c>
      <x:c r="R53" t="str">
        <x:v>8.5</x:v>
      </x:c>
      <x:c r="S53" t="str">
        <x:v>5255.3</x:v>
      </x:c>
      <x:c r="T53" t="str">
        <x:v>TT-503 range err again, prod upset</x:v>
      </x:c>
      <x:c r="U53" t="str">
        <x:v>night called for TT-503 reboiler outlet temperature tx, low heat seen during reboiler duty loss. Foud range err; span shifted. cleaned and put back online. need watch next feed swing. notif made by ops, maint attended same shift.</x:v>
      </x:c>
    </x:row>
    <x:row r="54" ht="15" hidden="0" customHeight="1">
      <x:c r="A54" t="str">
        <x:v>10450053</x:v>
      </x:c>
      <x:c r="B54" t="str">
        <x:v>40870053</x:v>
      </x:c>
      <x:c r="C54" t="str">
        <x:v>2021-08-19</x:v>
      </x:c>
      <x:c r="D54" t="str">
        <x:v>2021-08-19</x:v>
      </x:c>
      <x:c r="E54" t="str">
        <x:v>2021-08-19</x:v>
      </x:c>
      <x:c r="F54" t="str">
        <x:v>U400-DEETHANIZER-500</x:v>
      </x:c>
      <x:c r="G54" t="str">
        <x:v>TV-502</x:v>
      </x:c>
      <x:c r="H54" t="str">
        <x:v>condenser cooling valve</x:v>
      </x:c>
      <x:c r="I54" t="str">
        <x:v>control_valve</x:v>
      </x:c>
      <x:c r="J54" t="str">
        <x:v>P3</x:v>
      </x:c>
      <x:c r="K54" t="str">
        <x:v>COMP</x:v>
      </x:c>
      <x:c r="L54" t="str">
        <x:v>VALVE</x:v>
      </x:c>
      <x:c r="M54" t="str">
        <x:v>valve_stiction</x:v>
      </x:c>
      <x:c r="N54" t="str">
        <x:v>air leak</x:v>
      </x:c>
      <x:c r="O54" t="str">
        <x:v>AIR_LEAK</x:v>
      </x:c>
      <x:c r="P54" t="str">
        <x:v>TUBING</x:v>
      </x:c>
      <x:c r="Q54" t="str">
        <x:v>N</x:v>
      </x:c>
      <x:c r="R54" t="str">
        <x:v>16.6</x:v>
      </x:c>
      <x:c r="S54" t="str">
        <x:v>3980.83</x:v>
      </x:c>
      <x:c r="T54" t="str">
        <x:v>chk TV-502 - air leak frm ops</x:v>
      </x:c>
      <x:c r="U54" t="str">
        <x:v>night called for TV-502 condenser cooling valve, loop cycling seen during valve stiction. Foud air leak; positioner supply drop. Tag plate dirty, confirmd by line up with panel. replaced positioner tubing and retuned small. no leak at handover. notif made by ops, maint attended same shift.</x:v>
      </x:c>
    </x:row>
    <x:row r="55" ht="15" hidden="0" customHeight="1">
      <x:c r="A55" t="str">
        <x:v>10450054</x:v>
      </x:c>
      <x:c r="B55" t="str">
        <x:v>40870054</x:v>
      </x:c>
      <x:c r="C55" t="str">
        <x:v>2021-08-21</x:v>
      </x:c>
      <x:c r="D55" t="str">
        <x:v>2021-08-21</x:v>
      </x:c>
      <x:c r="E55" t="str">
        <x:v>2021-08-23</x:v>
      </x:c>
      <x:c r="F55" t="str">
        <x:v>U400-DEETHANIZER-500</x:v>
      </x:c>
      <x:c r="G55" t="str">
        <x:v>TV-502</x:v>
      </x:c>
      <x:c r="H55" t="str">
        <x:v>condenser cooling valve</x:v>
      </x:c>
      <x:c r="I55" t="str">
        <x:v>control_valve</x:v>
      </x:c>
      <x:c r="J55" t="str">
        <x:v>P2</x:v>
      </x:c>
      <x:c r="K55" t="str">
        <x:v>CLSD</x:v>
      </x:c>
      <x:c r="L55" t="str">
        <x:v>ANLYZR</x:v>
      </x:c>
      <x:c r="M55" t="str">
        <x:v>condenser_fouling</x:v>
      </x:c>
      <x:c r="N55" t="str">
        <x:v>passing</x:v>
      </x:c>
      <x:c r="O55" t="str">
        <x:v>LEAK_BY</x:v>
      </x:c>
      <x:c r="P55" t="str">
        <x:v>SEAT</x:v>
      </x:c>
      <x:c r="Q55" t="str">
        <x:v>Y</x:v>
      </x:c>
      <x:c r="R55" t="str">
        <x:v>9.3</x:v>
      </x:c>
      <x:c r="S55" t="str">
        <x:v>6542.41</x:v>
      </x:c>
      <x:c r="T55" t="str">
        <x:v>TV-502 pic wide open, passing</x:v>
      </x:c>
      <x:c r="U55" t="str">
        <x:v>night called for TV-502 condenser cooling valve, drum temp hi seen during condenser fouling. Foud passing; seat leak by. swapped to standby and repaired. no leak at handover. notif made by ops, maint attended same shift.</x:v>
      </x:c>
    </x:row>
    <x:row r="56" ht="15" hidden="0" customHeight="1">
      <x:c r="A56" t="str">
        <x:v>10450055</x:v>
      </x:c>
      <x:c r="B56" t="str">
        <x:v>40870055</x:v>
      </x:c>
      <x:c r="C56" t="str">
        <x:v>2021-08-20</x:v>
      </x:c>
      <x:c r="D56" t="str">
        <x:v>2021-08-21</x:v>
      </x:c>
      <x:c r="E56" t="str">
        <x:v>2021-08-26</x:v>
      </x:c>
      <x:c r="F56" t="str">
        <x:v>U400-DEETHANIZER-500</x:v>
      </x:c>
      <x:c r="G56" t="str">
        <x:v>E-501</x:v>
      </x:c>
      <x:c r="H56" t="str">
        <x:v>deethanizer reboiler</x:v>
      </x:c>
      <x:c r="I56" t="str">
        <x:v>reboiler</x:v>
      </x:c>
      <x:c r="J56" t="str">
        <x:v>P2</x:v>
      </x:c>
      <x:c r="K56" t="str">
        <x:v>CLSD</x:v>
      </x:c>
      <x:c r="L56" t="str">
        <x:v>ANLYZR</x:v>
      </x:c>
      <x:c r="M56" t="str">
        <x:v>reboiler_duty_loss</x:v>
      </x:c>
      <x:c r="N56" t="str">
        <x:v>low duty</x:v>
      </x:c>
      <x:c r="O56" t="str">
        <x:v>DUTY_LOSS</x:v>
      </x:c>
      <x:c r="P56" t="str">
        <x:v>UTILITY</x:v>
      </x:c>
      <x:c r="Q56" t="str">
        <x:v>Y</x:v>
      </x:c>
      <x:c r="R56" t="str">
        <x:v>21.5</x:v>
      </x:c>
      <x:c r="S56" t="str">
        <x:v>2760.65</x:v>
      </x:c>
      <x:c r="T56" t="str">
        <x:v>E-501 rb circ cold, low duty</x:v>
      </x:c>
      <x:c r="U56" t="str">
        <x:v>B shift called for E-501 deethanizer reboiler, rb circ cold seen during reboiler duty loss. Foud low duty; hm valve/strainer issue. Tag plate dirty, confirmd by line up with panel. flushed impulse/sample line. ops says ok for now. notif made by ops, maint attended same shift.</x:v>
      </x:c>
    </x:row>
    <x:row r="57" ht="15" hidden="0" customHeight="1">
      <x:c r="A57" t="str">
        <x:v>10450056</x:v>
      </x:c>
      <x:c r="B57" t="str">
        <x:v>40870056</x:v>
      </x:c>
      <x:c r="C57" t="str">
        <x:v>2021-08-22</x:v>
      </x:c>
      <x:c r="D57" t="str">
        <x:v>2021-08-22</x:v>
      </x:c>
      <x:c r="E57" t="str">
        <x:v>2021-08-24</x:v>
      </x:c>
      <x:c r="F57" t="str">
        <x:v>U400-DEETHANIZER-500</x:v>
      </x:c>
      <x:c r="G57" t="str">
        <x:v>FV-502</x:v>
      </x:c>
      <x:c r="H57" t="str">
        <x:v>reflux flow control valve</x:v>
      </x:c>
      <x:c r="I57" t="str">
        <x:v>control_valve</x:v>
      </x:c>
      <x:c r="J57" t="str">
        <x:v>P2</x:v>
      </x:c>
      <x:c r="K57" t="str">
        <x:v>CLSD</x:v>
      </x:c>
      <x:c r="L57" t="str">
        <x:v>ANLYZR</x:v>
      </x:c>
      <x:c r="M57" t="str">
        <x:v>valve_stiction</x:v>
      </x:c>
      <x:c r="N57" t="str">
        <x:v>not stroking</x:v>
      </x:c>
      <x:c r="O57" t="str">
        <x:v>NO_TRAVEL</x:v>
      </x:c>
      <x:c r="P57" t="str">
        <x:v>ACT</x:v>
      </x:c>
      <x:c r="Q57" t="str">
        <x:v>Y</x:v>
      </x:c>
      <x:c r="R57" t="str">
        <x:v>13.3</x:v>
      </x:c>
      <x:c r="S57" t="str">
        <x:v>5905.94</x:v>
      </x:c>
      <x:c r="T57" t="str">
        <x:v>chk FV-502 - not stroking frm ops</x:v>
      </x:c>
      <x:c r="U57" t="str">
        <x:v>B shift called for FV-502 rflx flow control valve, loop cycling seen during valve stiction. Foud not stroking; actuator weak. Could not get permit first time waiting area gas test. tightened fittings, leak test ok. ops says ok for now. notif made by ops, maint attended same shift.</x:v>
      </x:c>
    </x:row>
    <x:row r="58" ht="15" hidden="0" customHeight="1">
      <x:c r="A58" t="str">
        <x:v>10450057</x:v>
      </x:c>
      <x:c r="B58" t="str">
        <x:v>40870057</x:v>
      </x:c>
      <x:c r="C58" t="str">
        <x:v>2021-08-25</x:v>
      </x:c>
      <x:c r="D58" t="str">
        <x:v>2021-08-26</x:v>
      </x:c>
      <x:c r="E58" t="str">
        <x:v>2021-08-26</x:v>
      </x:c>
      <x:c r="F58" t="str">
        <x:v>U400-DEETHANIZER-500</x:v>
      </x:c>
      <x:c r="G58" t="str">
        <x:v>T-501</x:v>
      </x:c>
      <x:c r="H58" t="str">
        <x:v>deethanizer column</x:v>
      </x:c>
      <x:c r="I58" t="str">
        <x:v>column</x:v>
      </x:c>
      <x:c r="J58" t="str">
        <x:v>P2</x:v>
      </x:c>
      <x:c r="K58" t="str">
        <x:v>CLSD</x:v>
      </x:c>
      <x:c r="L58" t="str">
        <x:v>VALVE</x:v>
      </x:c>
      <x:c r="M58" t="str">
        <x:v>feed_composition_shift</x:v>
      </x:c>
      <x:c r="N58" t="str">
        <x:v>weeping flange</x:v>
      </x:c>
      <x:c r="O58" t="str">
        <x:v>LEAK</x:v>
      </x:c>
      <x:c r="P58" t="str">
        <x:v>GASKET</x:v>
      </x:c>
      <x:c r="Q58" t="str">
        <x:v>Y</x:v>
      </x:c>
      <x:c r="R58" t="str">
        <x:v>15.2</x:v>
      </x:c>
      <x:c r="S58" t="str">
        <x:v>1890.8</x:v>
      </x:c>
      <x:c r="T58" t="str">
        <x:v>T-501 quality bad, weeping flange</x:v>
      </x:c>
      <x:c r="U58" t="str">
        <x:v>days called for T-501 deethanizer column, ovhd c3 slip seen during feed composition shift. Foud weeping flange; manway/flange seep. History shows same complain last mnth. calibrated, loop chekd with CCR. still little hunting but acceptable. notif made by ops, maint attended same shift.</x:v>
      </x:c>
    </x:row>
    <x:row r="59" ht="15" hidden="0" customHeight="1">
      <x:c r="A59" t="str">
        <x:v>10450058</x:v>
      </x:c>
      <x:c r="B59" t="str">
        <x:v>40870058</x:v>
      </x:c>
      <x:c r="C59" t="str">
        <x:v>2021-08-24</x:v>
      </x:c>
      <x:c r="D59" t="str">
        <x:v>2021-08-25</x:v>
      </x:c>
      <x:c r="E59" t="str">
        <x:v>2021-08-28</x:v>
      </x:c>
      <x:c r="F59" t="str">
        <x:v>U400-DEETHANIZER-500</x:v>
      </x:c>
      <x:c r="G59" t="str">
        <x:v>AIT-501</x:v>
      </x:c>
      <x:c r="H59" t="str">
        <x:v>overhead C2 analyzer</x:v>
      </x:c>
      <x:c r="I59" t="str">
        <x:v>analyzer</x:v>
      </x:c>
      <x:c r="J59" t="str">
        <x:v>P3</x:v>
      </x:c>
      <x:c r="K59" t="str">
        <x:v>CLSD</x:v>
      </x:c>
      <x:c r="L59" t="str">
        <x:v>ANLYZR</x:v>
      </x:c>
      <x:c r="M59" t="str">
        <x:v>feed_composition_shift</x:v>
      </x:c>
      <x:c r="N59" t="str">
        <x:v>anlyzr drift</x:v>
      </x:c>
      <x:c r="O59" t="str">
        <x:v>DRIFT</x:v>
      </x:c>
      <x:c r="P59" t="str">
        <x:v>CAL_GAS</x:v>
      </x:c>
      <x:c r="Q59" t="str">
        <x:v>N</x:v>
      </x:c>
      <x:c r="R59" t="str">
        <x:v>10.8</x:v>
      </x:c>
      <x:c r="S59" t="str">
        <x:v>2508.01</x:v>
      </x:c>
      <x:c r="T59" t="str">
        <x:v>chk AIT-501 - anlyzr drift frm ops</x:v>
      </x:c>
      <x:c r="U59" t="str">
        <x:v>A shift called for AIT-501 overhead C2 analyzer, c3 in feed hi seen during feed composition shift. Foud anlyzr drift; cal gas failed. tightened fittings, leak test ok. temp repair only, plan shutdown job. notif made by ops, maint attended same shift.</x:v>
      </x:c>
    </x:row>
    <x:row r="60" ht="15" hidden="0" customHeight="1">
      <x:c r="A60" t="str">
        <x:v>10450059</x:v>
      </x:c>
      <x:c r="B60" t="str">
        <x:v>40870059</x:v>
      </x:c>
      <x:c r="C60" t="str">
        <x:v>2021-08-29</x:v>
      </x:c>
      <x:c r="D60" t="str">
        <x:v>2021-08-29</x:v>
      </x:c>
      <x:c r="E60" t="str">
        <x:v>2021-08-29</x:v>
      </x:c>
      <x:c r="F60" t="str">
        <x:v>U400-DEETHANIZER-500</x:v>
      </x:c>
      <x:c r="G60" t="str">
        <x:v>E-501</x:v>
      </x:c>
      <x:c r="H60" t="str">
        <x:v>deethanizer reboiler</x:v>
      </x:c>
      <x:c r="I60" t="str">
        <x:v>reboiler</x:v>
      </x:c>
      <x:c r="J60" t="str">
        <x:v>P1</x:v>
      </x:c>
      <x:c r="K60" t="str">
        <x:v>CLSD</x:v>
      </x:c>
      <x:c r="L60" t="str">
        <x:v>OPS+MECH</x:v>
      </x:c>
      <x:c r="M60" t="str">
        <x:v>feed_temperature_ramp</x:v>
      </x:c>
      <x:c r="N60" t="str">
        <x:v>low duty</x:v>
      </x:c>
      <x:c r="O60" t="str">
        <x:v>DUTY_LOSS</x:v>
      </x:c>
      <x:c r="P60" t="str">
        <x:v>UTILITY</x:v>
      </x:c>
      <x:c r="Q60" t="str">
        <x:v>Y</x:v>
      </x:c>
      <x:c r="R60" t="str">
        <x:v>22.6</x:v>
      </x:c>
      <x:c r="S60" t="str">
        <x:v>321.82</x:v>
      </x:c>
      <x:c r="T60" t="str">
        <x:v>E-501 not ok after feed temp ramp</x:v>
      </x:c>
      <x:c r="U60" t="str">
        <x:v>A shift called for E-501 deethanizer reboiler, rb duty up seen during feed temperature ramp. Foud low duty; hm valve/strainer issue. cleaned and put back online. unit stable now. notif made by ops, maint attended same shift.</x:v>
      </x:c>
    </x:row>
    <x:row r="61" ht="15" hidden="0" customHeight="1">
      <x:c r="A61" t="str">
        <x:v>10450060</x:v>
      </x:c>
      <x:c r="B61" t="str">
        <x:v>40870060</x:v>
      </x:c>
      <x:c r="C61" t="str">
        <x:v>2021-08-26</x:v>
      </x:c>
      <x:c r="D61" t="str">
        <x:v>2021-08-27</x:v>
      </x:c>
      <x:c r="E61" t="str">
        <x:v>2021-08-30</x:v>
      </x:c>
      <x:c r="F61" t="str">
        <x:v>U400-DEETHANIZER-500</x:v>
      </x:c>
      <x:c r="G61" t="str">
        <x:v>LV-502</x:v>
      </x:c>
      <x:c r="H61" t="str">
        <x:v>bottoms level valve</x:v>
      </x:c>
      <x:c r="I61" t="str">
        <x:v>control_valve</x:v>
      </x:c>
      <x:c r="J61" t="str">
        <x:v>P2</x:v>
      </x:c>
      <x:c r="K61" t="str">
        <x:v>TECO</x:v>
      </x:c>
      <x:c r="L61" t="str">
        <x:v>MECH</x:v>
      </x:c>
      <x:c r="M61" t="str">
        <x:v>valve_stiction</x:v>
      </x:c>
      <x:c r="N61" t="str">
        <x:v>stiction</x:v>
      </x:c>
      <x:c r="O61" t="str">
        <x:v>STICK</x:v>
      </x:c>
      <x:c r="P61" t="str">
        <x:v>PACKING</x:v>
      </x:c>
      <x:c r="Q61" t="str">
        <x:v>N</x:v>
      </x:c>
      <x:c r="R61" t="str">
        <x:v>11.5</x:v>
      </x:c>
      <x:c r="S61" t="str">
        <x:v>5589.92</x:v>
      </x:c>
      <x:c r="T61" t="str">
        <x:v>chk LV-502 - stiction frm ops</x:v>
      </x:c>
      <x:c r="U61" t="str">
        <x:v>A shift called for LV-502 bottoms level valve, position bad seen during valve stiction. Foud stiction; stem sticky and pos err. reset trip and monitored for 2 hrs. need watch next feed swing. notif made by ops, maint attended same shift.</x:v>
      </x:c>
    </x:row>
    <x:row r="62" ht="15" hidden="0" customHeight="1">
      <x:c r="A62" t="str">
        <x:v>10450061</x:v>
      </x:c>
      <x:c r="B62" t="str">
        <x:v>40870061</x:v>
      </x:c>
      <x:c r="C62" t="str">
        <x:v>2021-08-31</x:v>
      </x:c>
      <x:c r="D62" t="str">
        <x:v>2021-09-01</x:v>
      </x:c>
      <x:c r="E62" t="str">
        <x:v>2021-09-01</x:v>
      </x:c>
      <x:c r="F62" t="str">
        <x:v>U400-DEETHANIZER-500</x:v>
      </x:c>
      <x:c r="G62" t="str">
        <x:v>FT-501</x:v>
      </x:c>
      <x:c r="H62" t="str">
        <x:v>feed flow transmitter</x:v>
      </x:c>
      <x:c r="I62" t="str">
        <x:v>instrument</x:v>
      </x:c>
      <x:c r="J62" t="str">
        <x:v>P4</x:v>
      </x:c>
      <x:c r="K62" t="str">
        <x:v>CLSD</x:v>
      </x:c>
      <x:c r="L62" t="str">
        <x:v>INST</x:v>
      </x:c>
      <x:c r="M62" t="str">
        <x:v>feed_flow_step</x:v>
      </x:c>
      <x:c r="N62" t="str">
        <x:v>bad reading</x:v>
      </x:c>
      <x:c r="O62" t="str">
        <x:v>DRIFT</x:v>
      </x:c>
      <x:c r="P62" t="str">
        <x:v>CAL</x:v>
      </x:c>
      <x:c r="Q62" t="str">
        <x:v>N</x:v>
      </x:c>
      <x:c r="R62" t="str">
        <x:v>7.7</x:v>
      </x:c>
      <x:c r="S62" t="str">
        <x:v>1075.8</x:v>
      </x:c>
      <x:c r="T62" t="str">
        <x:v>FT-501 not ok after feed flow step</x:v>
      </x:c>
      <x:c r="U62" t="str">
        <x:v>days called for FT-501 feed flow tx, fic hunting seen during feed flow step. Foud bad reading; needs calib. calibrated, loop checked with CCR. need watch next feed swing. notif made by ops, maint attended same shift.</x:v>
      </x:c>
    </x:row>
    <x:row r="63" ht="15" hidden="0" customHeight="1">
      <x:c r="A63" t="str">
        <x:v>10450062</x:v>
      </x:c>
      <x:c r="B63" t="str">
        <x:v>40870062</x:v>
      </x:c>
      <x:c r="C63" t="str">
        <x:v>2021-08-30</x:v>
      </x:c>
      <x:c r="D63" t="str">
        <x:v>2021-09-01</x:v>
      </x:c>
      <x:c r="E63" t="str">
        <x:v>2021-09-03</x:v>
      </x:c>
      <x:c r="F63" t="str">
        <x:v>U400-DEETHANIZER-500</x:v>
      </x:c>
      <x:c r="G63" t="str">
        <x:v>FV-502</x:v>
      </x:c>
      <x:c r="H63" t="str">
        <x:v>reflux flow control valve</x:v>
      </x:c>
      <x:c r="I63" t="str">
        <x:v>control_valve</x:v>
      </x:c>
      <x:c r="J63" t="str">
        <x:v>P4</x:v>
      </x:c>
      <x:c r="K63" t="str">
        <x:v>CLSD</x:v>
      </x:c>
      <x:c r="L63" t="str">
        <x:v>VALVE</x:v>
      </x:c>
      <x:c r="M63" t="str">
        <x:v>feed_flow_step</x:v>
      </x:c>
      <x:c r="N63" t="str">
        <x:v>air leak</x:v>
      </x:c>
      <x:c r="O63" t="str">
        <x:v>AIR_LEAK</x:v>
      </x:c>
      <x:c r="P63" t="str">
        <x:v>TUBING</x:v>
      </x:c>
      <x:c r="Q63" t="str">
        <x:v>N</x:v>
      </x:c>
      <x:c r="R63" t="str">
        <x:v>10.9</x:v>
      </x:c>
      <x:c r="S63" t="str">
        <x:v>2476.68</x:v>
      </x:c>
      <x:c r="T63" t="str">
        <x:v>FV-502 air leak noisy</x:v>
      </x:c>
      <x:c r="U63" t="str">
        <x:v>days called for FV-502 reflux flow control valve, fic hunting seen during feed flow step. Foud air leak; positioner supply drop. opened strainer, cleaned black sludge. need watch next feed swing. notif made by ops, maint attended same shift.</x:v>
      </x:c>
    </x:row>
    <x:row r="64" ht="15" hidden="0" customHeight="1">
      <x:c r="A64" t="str">
        <x:v>10450063</x:v>
      </x:c>
      <x:c r="B64" t="str">
        <x:v>40870063</x:v>
      </x:c>
      <x:c r="C64" t="str">
        <x:v>2021-08-30</x:v>
      </x:c>
      <x:c r="D64" t="str">
        <x:v>2021-09-01</x:v>
      </x:c>
      <x:c r="E64" t="str">
        <x:v>2021-09-02</x:v>
      </x:c>
      <x:c r="F64" t="str">
        <x:v>U400-DEETHANIZER-500</x:v>
      </x:c>
      <x:c r="G64" t="str">
        <x:v>E-503</x:v>
      </x:c>
      <x:c r="H64" t="str">
        <x:v>feed bottoms exchanger</x:v>
      </x:c>
      <x:c r="I64" t="str">
        <x:v>exchanger</x:v>
      </x:c>
      <x:c r="J64" t="str">
        <x:v>P3</x:v>
      </x:c>
      <x:c r="K64" t="str">
        <x:v>CLSD</x:v>
      </x:c>
      <x:c r="L64" t="str">
        <x:v>ANLYZR</x:v>
      </x:c>
      <x:c r="M64" t="str">
        <x:v>feed_flow_step</x:v>
      </x:c>
      <x:c r="N64" t="str">
        <x:v>temp approach bad</x:v>
      </x:c>
      <x:c r="O64" t="str">
        <x:v>PERF</x:v>
      </x:c>
      <x:c r="P64" t="str">
        <x:v>FOUL</x:v>
      </x:c>
      <x:c r="Q64" t="str">
        <x:v>N</x:v>
      </x:c>
      <x:c r="R64" t="str">
        <x:v>11.4</x:v>
      </x:c>
      <x:c r="S64" t="str">
        <x:v>12789.69</x:v>
      </x:c>
      <x:c r="T64" t="str">
        <x:v>chk E-503 - temp approach bad frm ops</x:v>
      </x:c>
      <x:c r="U64" t="str">
        <x:v>A shift called for E-503 feed bottoms exchanger, fic hunting seen during feed flow step. Foud temp approach bad; heat transfer loss. cleaned and put back online. need watch next feed swing. notif made by ops, maint attended same shift.</x:v>
      </x:c>
    </x:row>
    <x:row r="65" ht="15" hidden="0" customHeight="1">
      <x:c r="A65" t="str">
        <x:v>10450064</x:v>
      </x:c>
      <x:c r="B65" t="str">
        <x:v>40870064</x:v>
      </x:c>
      <x:c r="C65" t="str">
        <x:v>2021-09-02</x:v>
      </x:c>
      <x:c r="D65" t="str">
        <x:v>2021-09-03</x:v>
      </x:c>
      <x:c r="E65" t="str">
        <x:v>2021-09-04</x:v>
      </x:c>
      <x:c r="F65" t="str">
        <x:v>U400-DEETHANIZER-500</x:v>
      </x:c>
      <x:c r="G65" t="str">
        <x:v>PT-501</x:v>
      </x:c>
      <x:c r="H65" t="str">
        <x:v>column overhead pressure tx</x:v>
      </x:c>
      <x:c r="I65" t="str">
        <x:v>instrument</x:v>
      </x:c>
      <x:c r="J65" t="str">
        <x:v>P4</x:v>
      </x:c>
      <x:c r="K65" t="str">
        <x:v>TECO</x:v>
      </x:c>
      <x:c r="L65" t="str">
        <x:v>INST</x:v>
      </x:c>
      <x:c r="M65" t="str">
        <x:v>condenser_fouling</x:v>
      </x:c>
      <x:c r="N65" t="str">
        <x:v>impulse plugged</x:v>
      </x:c>
      <x:c r="O65" t="str">
        <x:v>PLUG</x:v>
      </x:c>
      <x:c r="P65" t="str">
        <x:v>PROCESS</x:v>
      </x:c>
      <x:c r="Q65" t="str">
        <x:v>N</x:v>
      </x:c>
      <x:c r="R65" t="str">
        <x:v>6.4</x:v>
      </x:c>
      <x:c r="S65" t="str">
        <x:v>2171.24</x:v>
      </x:c>
      <x:c r="T65" t="str">
        <x:v>PT-501 impulse plugged again</x:v>
      </x:c>
      <x:c r="U65" t="str">
        <x:v>days called for PT-501 column overhead pressure tx, cw dt low seen during condenser fouling. Foud impulse plugged; tap/line dirty. cleaned and put back online. still little hunting but acceptable. notif made by ops, maint attended same shift.</x:v>
      </x:c>
    </x:row>
    <x:row r="66" ht="15" hidden="0" customHeight="1">
      <x:c r="A66" t="str">
        <x:v>10450065</x:v>
      </x:c>
      <x:c r="B66" t="str">
        <x:v>40870065</x:v>
      </x:c>
      <x:c r="C66" t="str">
        <x:v>2021-09-02</x:v>
      </x:c>
      <x:c r="D66" t="str">
        <x:v>2021-09-03</x:v>
      </x:c>
      <x:c r="E66" t="str">
        <x:v>2021-09-06</x:v>
      </x:c>
      <x:c r="F66" t="str">
        <x:v>U400-DEETHANIZER-500</x:v>
      </x:c>
      <x:c r="G66" t="str">
        <x:v>FV-501</x:v>
      </x:c>
      <x:c r="H66" t="str">
        <x:v>feed flow control valve</x:v>
      </x:c>
      <x:c r="I66" t="str">
        <x:v>control_valve</x:v>
      </x:c>
      <x:c r="J66" t="str">
        <x:v>P3</x:v>
      </x:c>
      <x:c r="K66" t="str">
        <x:v>COMP</x:v>
      </x:c>
      <x:c r="L66" t="str">
        <x:v>OPS+MECH</x:v>
      </x:c>
      <x:c r="M66" t="str">
        <x:v>feed_flow_step</x:v>
      </x:c>
      <x:c r="N66" t="str">
        <x:v>stiction</x:v>
      </x:c>
      <x:c r="O66" t="str">
        <x:v>STICK</x:v>
      </x:c>
      <x:c r="P66" t="str">
        <x:v>PACKING</x:v>
      </x:c>
      <x:c r="Q66" t="str">
        <x:v>N</x:v>
      </x:c>
      <x:c r="R66" t="str">
        <x:v>7.9</x:v>
      </x:c>
      <x:c r="S66" t="str">
        <x:v>2900.78</x:v>
      </x:c>
      <x:c r="T66" t="str">
        <x:v>FV-501 lvl swing, stiction</x:v>
      </x:c>
      <x:c r="U66" t="str">
        <x:v>B shift called for FV-501 feed flow control valve, colmn dp high seen during feed flow step. Foud stiction; stem sticky and pos err. flushed impulse/sample line. no leak at handover. notif made by ops, maint attended same shift.</x:v>
      </x:c>
    </x:row>
    <x:row r="67" ht="15" hidden="0" customHeight="1">
      <x:c r="A67" t="str">
        <x:v>10450066</x:v>
      </x:c>
      <x:c r="B67" t="str">
        <x:v>40870066</x:v>
      </x:c>
      <x:c r="C67" t="str">
        <x:v>2021-09-08</x:v>
      </x:c>
      <x:c r="D67" t="str">
        <x:v>2021-09-09</x:v>
      </x:c>
      <x:c r="E67" t="str">
        <x:v>2021-09-09</x:v>
      </x:c>
      <x:c r="F67" t="str">
        <x:v>U400-DEETHANIZER-500</x:v>
      </x:c>
      <x:c r="G67" t="str">
        <x:v>P-501B</x:v>
      </x:c>
      <x:c r="H67" t="str">
        <x:v>reflux pump B</x:v>
      </x:c>
      <x:c r="I67" t="str">
        <x:v>pump</x:v>
      </x:c>
      <x:c r="J67" t="str">
        <x:v>P3</x:v>
      </x:c>
      <x:c r="K67" t="str">
        <x:v>CLSD</x:v>
      </x:c>
      <x:c r="L67" t="str">
        <x:v>ROT</x:v>
      </x:c>
      <x:c r="M67" t="str">
        <x:v>reflux_pump_degradation</x:v>
      </x:c>
      <x:c r="N67" t="str">
        <x:v>motor trip</x:v>
      </x:c>
      <x:c r="O67" t="str">
        <x:v>MOTOR</x:v>
      </x:c>
      <x:c r="P67" t="str">
        <x:v>ELEC</x:v>
      </x:c>
      <x:c r="Q67" t="str">
        <x:v>N</x:v>
      </x:c>
      <x:c r="R67" t="str">
        <x:v>3.0</x:v>
      </x:c>
      <x:c r="S67" t="str">
        <x:v>6808.42</x:v>
      </x:c>
      <x:c r="T67" t="str">
        <x:v>P-501B not ok after reflux pump degradation</x:v>
      </x:c>
      <x:c r="U67" t="str">
        <x:v>A shift called for P-501B reflux pump B, min flow hot seen during reflux pump degradation. Foud motor trip; overload trip after upset. Tag plate dirty, confirmd by line up with panel. flushed impulse/sample line. unit stable now. notif made by ops, maint attended same shift.</x:v>
      </x:c>
    </x:row>
    <x:row r="68" ht="15" hidden="0" customHeight="1">
      <x:c r="A68" t="str">
        <x:v>10450067</x:v>
      </x:c>
      <x:c r="B68" t="str">
        <x:v>40870067</x:v>
      </x:c>
      <x:c r="C68" t="str">
        <x:v>2021-09-10</x:v>
      </x:c>
      <x:c r="D68" t="str">
        <x:v>2021-09-10</x:v>
      </x:c>
      <x:c r="E68" t="str">
        <x:v>2021-09-10</x:v>
      </x:c>
      <x:c r="F68" t="str">
        <x:v>U400-DEETHANIZER-500</x:v>
      </x:c>
      <x:c r="G68" t="str">
        <x:v>E-502</x:v>
      </x:c>
      <x:c r="H68" t="str">
        <x:v>deethanizer overhead condenser</x:v>
      </x:c>
      <x:c r="I68" t="str">
        <x:v>condenser</x:v>
      </x:c>
      <x:c r="J68" t="str">
        <x:v>P3</x:v>
      </x:c>
      <x:c r="K68" t="str">
        <x:v>TECO</x:v>
      </x:c>
      <x:c r="L68" t="str">
        <x:v>OPS+MECH</x:v>
      </x:c>
      <x:c r="M68" t="str">
        <x:v>pressure_control_fault</x:v>
      </x:c>
      <x:c r="N68" t="str">
        <x:v>tube leak sus</x:v>
      </x:c>
      <x:c r="O68" t="str">
        <x:v>LEAK</x:v>
      </x:c>
      <x:c r="P68" t="str">
        <x:v>TUBE</x:v>
      </x:c>
      <x:c r="Q68" t="str">
        <x:v>N</x:v>
      </x:c>
      <x:c r="R68" t="str">
        <x:v>4.1</x:v>
      </x:c>
      <x:c r="S68" t="str">
        <x:v>7753.93</x:v>
      </x:c>
      <x:c r="T68" t="str">
        <x:v>E-502 tube leak sus again, prod upset</x:v>
      </x:c>
      <x:c r="U68" t="str">
        <x:v>night called for E-502 deethanizer overhead condenser, flare valve checked seen during pressure control fault. Foud tube leak sus; hydrotest reqd. Line was hot so job done slow and with ops standing by. opened strainer, cleaned black sludge. no leak at handover. notif made by ops, maint attended same shift.</x:v>
      </x:c>
    </x:row>
    <x:row r="69" ht="15" hidden="0" customHeight="1">
      <x:c r="A69" t="str">
        <x:v>10450068</x:v>
      </x:c>
      <x:c r="B69" t="str">
        <x:v>40870068</x:v>
      </x:c>
      <x:c r="C69" t="str">
        <x:v>2021-09-08</x:v>
      </x:c>
      <x:c r="D69" t="str">
        <x:v>2021-09-09</x:v>
      </x:c>
      <x:c r="E69" t="str">
        <x:v>2021-09-10</x:v>
      </x:c>
      <x:c r="F69" t="str">
        <x:v>U400-DEETHANIZER-500</x:v>
      </x:c>
      <x:c r="G69" t="str">
        <x:v>TV-501</x:v>
      </x:c>
      <x:c r="H69" t="str">
        <x:v>reboiler hot medium valve</x:v>
      </x:c>
      <x:c r="I69" t="str">
        <x:v>control_valve</x:v>
      </x:c>
      <x:c r="J69" t="str">
        <x:v>P3</x:v>
      </x:c>
      <x:c r="K69" t="str">
        <x:v>COMP</x:v>
      </x:c>
      <x:c r="L69" t="str">
        <x:v>INST</x:v>
      </x:c>
      <x:c r="M69" t="str">
        <x:v>valve_stiction</x:v>
      </x:c>
      <x:c r="N69" t="str">
        <x:v>passing</x:v>
      </x:c>
      <x:c r="O69" t="str">
        <x:v>LEAK_BY</x:v>
      </x:c>
      <x:c r="P69" t="str">
        <x:v>SEAT</x:v>
      </x:c>
      <x:c r="Q69" t="str">
        <x:v>N</x:v>
      </x:c>
      <x:c r="R69" t="str">
        <x:v>16.8</x:v>
      </x:c>
      <x:c r="S69" t="str">
        <x:v>1483.57</x:v>
      </x:c>
      <x:c r="T69" t="str">
        <x:v>TV-501 passing again, prod upset</x:v>
      </x:c>
      <x:c r="U69" t="str">
        <x:v>B shift called for TV-501 reboiler hot medium valve, loop cycling seen during valve stiction. Foud passing; seat leak by. replaced positioner tubing and retuned small. readng close to dcs after job. notif made by ops, maint attended same shift.</x:v>
      </x:c>
    </x:row>
    <x:row r="70" ht="15" hidden="0" customHeight="1">
      <x:c r="A70" t="str">
        <x:v>10450069</x:v>
      </x:c>
      <x:c r="B70" t="str">
        <x:v>40870069</x:v>
      </x:c>
      <x:c r="C70" t="str">
        <x:v>2021-09-11</x:v>
      </x:c>
      <x:c r="D70" t="str">
        <x:v>2021-09-12</x:v>
      </x:c>
      <x:c r="E70" t="str">
        <x:v>2021-09-13</x:v>
      </x:c>
      <x:c r="F70" t="str">
        <x:v>U400-DEETHANIZER-500</x:v>
      </x:c>
      <x:c r="G70" t="str">
        <x:v>E-501</x:v>
      </x:c>
      <x:c r="H70" t="str">
        <x:v>deethanizer reboiler</x:v>
      </x:c>
      <x:c r="I70" t="str">
        <x:v>reboiler</x:v>
      </x:c>
      <x:c r="J70" t="str">
        <x:v>P2</x:v>
      </x:c>
      <x:c r="K70" t="str">
        <x:v>CLSD</x:v>
      </x:c>
      <x:c r="L70" t="str">
        <x:v>ROT</x:v>
      </x:c>
      <x:c r="M70" t="str">
        <x:v>reboiler_duty_loss</x:v>
      </x:c>
      <x:c r="N70" t="str">
        <x:v>fouled bundle</x:v>
      </x:c>
      <x:c r="O70" t="str">
        <x:v>FOULING</x:v>
      </x:c>
      <x:c r="P70" t="str">
        <x:v>PROCESS</x:v>
      </x:c>
      <x:c r="Q70" t="str">
        <x:v>N</x:v>
      </x:c>
      <x:c r="R70" t="str">
        <x:v>13.2</x:v>
      </x:c>
      <x:c r="S70" t="str">
        <x:v>5410.6</x:v>
      </x:c>
      <x:c r="T70" t="str">
        <x:v>E-501 not ok after reboiler duty loss</x:v>
      </x:c>
      <x:c r="U70" t="str">
        <x:v>night called for E-501 deethanizer reboiler, tray temp low seen during reboiler duty loss. Foud fouled bundle; bottoms side dirty. Line was hot so job done slow and with ops standing by. tightened fittings, leak test ok. need watch next feed swing. notif made by ops, maint attended same shift.</x:v>
      </x:c>
    </x:row>
    <x:row r="71" ht="15" hidden="0" customHeight="1">
      <x:c r="A71" t="str">
        <x:v>10450070</x:v>
      </x:c>
      <x:c r="B71" t="str">
        <x:v>40870070</x:v>
      </x:c>
      <x:c r="C71" t="str">
        <x:v>2021-09-12</x:v>
      </x:c>
      <x:c r="D71" t="str">
        <x:v>2021-09-12</x:v>
      </x:c>
      <x:c r="E71" t="str">
        <x:v>2021-09-15</x:v>
      </x:c>
      <x:c r="F71" t="str">
        <x:v>U400-DEETHANIZER-500</x:v>
      </x:c>
      <x:c r="G71" t="str">
        <x:v>PSV-501B</x:v>
      </x:c>
      <x:c r="H71" t="str">
        <x:v>column relief valve B</x:v>
      </x:c>
      <x:c r="I71" t="str">
        <x:v>relief</x:v>
      </x:c>
      <x:c r="J71" t="str">
        <x:v>P3</x:v>
      </x:c>
      <x:c r="K71" t="str">
        <x:v>CLSD</x:v>
      </x:c>
      <x:c r="L71" t="str">
        <x:v>E&amp;I</x:v>
      </x:c>
      <x:c r="M71" t="str">
        <x:v>reflux_pump_degradation</x:v>
      </x:c>
      <x:c r="N71" t="str">
        <x:v>due to lift chk</x:v>
      </x:c>
      <x:c r="O71" t="str">
        <x:v>LIFT_EVENT</x:v>
      </x:c>
      <x:c r="P71" t="str">
        <x:v>PROCESS</x:v>
      </x:c>
      <x:c r="Q71" t="str">
        <x:v>N</x:v>
      </x:c>
      <x:c r="R71" t="str">
        <x:v>1.3</x:v>
      </x:c>
      <x:c r="S71" t="str">
        <x:v>1179.18</x:v>
      </x:c>
      <x:c r="T71" t="str">
        <x:v>PSV-501B due to lift chk again, prod upset</x:v>
      </x:c>
      <x:c r="U71" t="str">
        <x:v>days called for PSV-501B column relief vavle B, disch press low seen during reflux pump degradation. Foud due to lift chk; after press excursion. History shows same complain last mnth. reset trip and monitored for 2 hrs. unit stable now. notif made by ops, maint attended same shift.</x:v>
      </x:c>
    </x:row>
    <x:row r="72" ht="15" hidden="0" customHeight="1">
      <x:c r="A72" t="str">
        <x:v>10450071</x:v>
      </x:c>
      <x:c r="B72" t="str">
        <x:v>40870071</x:v>
      </x:c>
      <x:c r="C72" t="str">
        <x:v>2021-09-14</x:v>
      </x:c>
      <x:c r="D72" t="str">
        <x:v>2021-09-15</x:v>
      </x:c>
      <x:c r="E72" t="str">
        <x:v>2021-09-16</x:v>
      </x:c>
      <x:c r="F72" t="str">
        <x:v>U400-DEETHANIZER-500</x:v>
      </x:c>
      <x:c r="G72" t="str">
        <x:v>PT-501</x:v>
      </x:c>
      <x:c r="H72" t="str">
        <x:v>column overhead pressure tx</x:v>
      </x:c>
      <x:c r="I72" t="str">
        <x:v>instrument</x:v>
      </x:c>
      <x:c r="J72" t="str">
        <x:v>P3</x:v>
      </x:c>
      <x:c r="K72" t="str">
        <x:v>COMP</x:v>
      </x:c>
      <x:c r="L72" t="str">
        <x:v>OPS+INST</x:v>
      </x:c>
      <x:c r="M72" t="str">
        <x:v>feed_composition_shift</x:v>
      </x:c>
      <x:c r="N72" t="str">
        <x:v>impulse plugged</x:v>
      </x:c>
      <x:c r="O72" t="str">
        <x:v>PLUG</x:v>
      </x:c>
      <x:c r="P72" t="str">
        <x:v>PROCESS</x:v>
      </x:c>
      <x:c r="Q72" t="str">
        <x:v>N</x:v>
      </x:c>
      <x:c r="R72" t="str">
        <x:v>14.4</x:v>
      </x:c>
      <x:c r="S72" t="str">
        <x:v>3547.24</x:v>
      </x:c>
      <x:c r="T72" t="str">
        <x:v>PT-501 not ok after feed composition shift</x:v>
      </x:c>
      <x:c r="U72" t="str">
        <x:v>days called for PT-501 column overhead pressure tx, anlyzr off seen during feed composition shift. Foud impulse plugged; tap/line dirty. flushed impulse/sample line. readng close to dcs after job. notif made by ops, maint attended same shift.</x:v>
      </x:c>
    </x:row>
    <x:row r="73" ht="15" hidden="0" customHeight="1">
      <x:c r="A73" t="str">
        <x:v>10450072</x:v>
      </x:c>
      <x:c r="B73" t="str">
        <x:v>40870072</x:v>
      </x:c>
      <x:c r="C73" t="str">
        <x:v>2021-09-14</x:v>
      </x:c>
      <x:c r="D73" t="str">
        <x:v>2021-09-15</x:v>
      </x:c>
      <x:c r="E73" t="str">
        <x:v>2021-09-16</x:v>
      </x:c>
      <x:c r="F73" t="str">
        <x:v>U400-DEETHANIZER-500</x:v>
      </x:c>
      <x:c r="G73" t="str">
        <x:v>T-501</x:v>
      </x:c>
      <x:c r="H73" t="str">
        <x:v>deethanizer column</x:v>
      </x:c>
      <x:c r="I73" t="str">
        <x:v>column</x:v>
      </x:c>
      <x:c r="J73" t="str">
        <x:v>P2</x:v>
      </x:c>
      <x:c r="K73" t="str">
        <x:v>CLSD</x:v>
      </x:c>
      <x:c r="L73" t="str">
        <x:v>OPS+INST</x:v>
      </x:c>
      <x:c r="M73" t="str">
        <x:v>feed_composition_shift</x:v>
      </x:c>
      <x:c r="N73" t="str">
        <x:v>level unstable</x:v>
      </x:c>
      <x:c r="O73" t="str">
        <x:v>LVL_SWING</x:v>
      </x:c>
      <x:c r="P73" t="str">
        <x:v>CTRL</x:v>
      </x:c>
      <x:c r="Q73" t="str">
        <x:v>N</x:v>
      </x:c>
      <x:c r="R73" t="str">
        <x:v>1.2</x:v>
      </x:c>
      <x:c r="S73" t="str">
        <x:v>861.41</x:v>
      </x:c>
      <x:c r="T73" t="str">
        <x:v>T-501 not ok after feed composition shift</x:v>
      </x:c>
      <x:c r="U73" t="str">
        <x:v>C shift called for T-501 deethanizer column, ovhd c3 slip seen during feed composition shift. Foud level unstable; sump level swing. No spare in store at first, used refurb one from shop. calibrated, loop chekd with CCR. temp repair only, plan shutdown job. notif made by ops, maint attended same shift.</x:v>
      </x:c>
    </x:row>
    <x:row r="74" ht="15" hidden="0" customHeight="1">
      <x:c r="A74" t="str">
        <x:v>10450073</x:v>
      </x:c>
      <x:c r="B74" t="str">
        <x:v>40870073</x:v>
      </x:c>
      <x:c r="C74" t="str">
        <x:v>2021-09-16</x:v>
      </x:c>
      <x:c r="D74" t="str">
        <x:v>2021-09-16</x:v>
      </x:c>
      <x:c r="E74" t="str">
        <x:v>2021-09-19</x:v>
      </x:c>
      <x:c r="F74" t="str">
        <x:v>U400-DEETHANIZER-500</x:v>
      </x:c>
      <x:c r="G74" t="str">
        <x:v>FV-502</x:v>
      </x:c>
      <x:c r="H74" t="str">
        <x:v>reflux flow control valve</x:v>
      </x:c>
      <x:c r="I74" t="str">
        <x:v>control_valve</x:v>
      </x:c>
      <x:c r="J74" t="str">
        <x:v>P2</x:v>
      </x:c>
      <x:c r="K74" t="str">
        <x:v>CLSD</x:v>
      </x:c>
      <x:c r="L74" t="str">
        <x:v>ANLYZR</x:v>
      </x:c>
      <x:c r="M74" t="str">
        <x:v>valve_stiction</x:v>
      </x:c>
      <x:c r="N74" t="str">
        <x:v>hunting loop</x:v>
      </x:c>
      <x:c r="O74" t="str">
        <x:v>CTRL_OSC</x:v>
      </x:c>
      <x:c r="P74" t="str">
        <x:v>TUNE</x:v>
      </x:c>
      <x:c r="Q74" t="str">
        <x:v>N</x:v>
      </x:c>
      <x:c r="R74" t="str">
        <x:v>7.8</x:v>
      </x:c>
      <x:c r="S74" t="str">
        <x:v>1059.72</x:v>
      </x:c>
      <x:c r="T74" t="str">
        <x:v>FV-502 hunting loop again, prod upset</x:v>
      </x:c>
      <x:c r="U74" t="str">
        <x:v>B shift called for FV-502 reflux flow control vavle, air leak seen during vavle stiction. Foud hunting loop; bad response after upset. tightened fittings, leak test ok. still little hunting but acceptable. notif made by ops, maint attended same shift.</x:v>
      </x:c>
    </x:row>
    <x:row r="75" ht="15" hidden="0" customHeight="1">
      <x:c r="A75" t="str">
        <x:v>10450074</x:v>
      </x:c>
      <x:c r="B75" t="str">
        <x:v>40870074</x:v>
      </x:c>
      <x:c r="C75" t="str">
        <x:v>2021-09-20</x:v>
      </x:c>
      <x:c r="D75" t="str">
        <x:v>2021-09-20</x:v>
      </x:c>
      <x:c r="E75" t="str">
        <x:v>2021-09-21</x:v>
      </x:c>
      <x:c r="F75" t="str">
        <x:v>U400-DEETHANIZER-500</x:v>
      </x:c>
      <x:c r="G75" t="str">
        <x:v>TV-502</x:v>
      </x:c>
      <x:c r="H75" t="str">
        <x:v>condenser cooling valve</x:v>
      </x:c>
      <x:c r="I75" t="str">
        <x:v>control_valve</x:v>
      </x:c>
      <x:c r="J75" t="str">
        <x:v>P3</x:v>
      </x:c>
      <x:c r="K75" t="str">
        <x:v>COMP</x:v>
      </x:c>
      <x:c r="L75" t="str">
        <x:v>VALVE</x:v>
      </x:c>
      <x:c r="M75" t="str">
        <x:v>condenser_fouling</x:v>
      </x:c>
      <x:c r="N75" t="str">
        <x:v>air leak</x:v>
      </x:c>
      <x:c r="O75" t="str">
        <x:v>AIR_LEAK</x:v>
      </x:c>
      <x:c r="P75" t="str">
        <x:v>TUBING</x:v>
      </x:c>
      <x:c r="Q75" t="str">
        <x:v>N</x:v>
      </x:c>
      <x:c r="R75" t="str">
        <x:v>2.3</x:v>
      </x:c>
      <x:c r="S75" t="str">
        <x:v>1871.51</x:v>
      </x:c>
      <x:c r="T75" t="str">
        <x:v>TV-502 air leak again, prod upset</x:v>
      </x:c>
      <x:c r="U75" t="str">
        <x:v>B shift called for TV-502 condenser cooling valve, high ovhd press seen during condenser fouling. Foud air leak; positioner supply drop. Tag plate dirty, confirmd by line up with panel. tightened fittings, leak test ok. need watch next feed swing. notif made by ops, maint attended same shift.</x:v>
      </x:c>
    </x:row>
    <x:row r="76" ht="15" hidden="0" customHeight="1">
      <x:c r="A76" t="str">
        <x:v>10450075</x:v>
      </x:c>
      <x:c r="B76" t="str">
        <x:v>40870075</x:v>
      </x:c>
      <x:c r="C76" t="str">
        <x:v>2021-09-20</x:v>
      </x:c>
      <x:c r="D76" t="str">
        <x:v>2021-09-20</x:v>
      </x:c>
      <x:c r="E76" t="str">
        <x:v>2021-09-21</x:v>
      </x:c>
      <x:c r="F76" t="str">
        <x:v>U400-DEETHANIZER-500</x:v>
      </x:c>
      <x:c r="G76" t="str">
        <x:v>TT-503</x:v>
      </x:c>
      <x:c r="H76" t="str">
        <x:v>reboiler outlet temperature tx</x:v>
      </x:c>
      <x:c r="I76" t="str">
        <x:v>instrument</x:v>
      </x:c>
      <x:c r="J76" t="str">
        <x:v>P3</x:v>
      </x:c>
      <x:c r="K76" t="str">
        <x:v>TECO</x:v>
      </x:c>
      <x:c r="L76" t="str">
        <x:v>INST</x:v>
      </x:c>
      <x:c r="M76" t="str">
        <x:v>reboiler_duty_loss</x:v>
      </x:c>
      <x:c r="N76" t="str">
        <x:v>loose wire</x:v>
      </x:c>
      <x:c r="O76" t="str">
        <x:v>SIGNAL</x:v>
      </x:c>
      <x:c r="P76" t="str">
        <x:v>ELEC</x:v>
      </x:c>
      <x:c r="Q76" t="str">
        <x:v>N</x:v>
      </x:c>
      <x:c r="R76" t="str">
        <x:v>8.2</x:v>
      </x:c>
      <x:c r="S76" t="str">
        <x:v>617.56</x:v>
      </x:c>
      <x:c r="T76" t="str">
        <x:v>TT-503 loose wire chk &amp; revert</x:v>
      </x:c>
      <x:c r="U76" t="str">
        <x:v>B shift called for TT-503 reboiler outlet temperature tx, c2 in btm seen during reboiler duty loss. Foud loose wire; term loose. History shows same complain last mnth. reset trip and monitored for 2 hrs. need watch next feed swing. notif made by ops, maint attended same shift.</x:v>
      </x:c>
    </x:row>
    <x:row r="77" ht="15" hidden="0" customHeight="1">
      <x:c r="A77" t="str">
        <x:v>10450076</x:v>
      </x:c>
      <x:c r="B77" t="str">
        <x:v>40870076</x:v>
      </x:c>
      <x:c r="C77" t="str">
        <x:v>2021-09-18</x:v>
      </x:c>
      <x:c r="D77" t="str">
        <x:v>2021-09-19</x:v>
      </x:c>
      <x:c r="E77" t="str">
        <x:v>2021-09-21</x:v>
      </x:c>
      <x:c r="F77" t="str">
        <x:v>U400-DEETHANIZER-500</x:v>
      </x:c>
      <x:c r="G77" t="str">
        <x:v>P-501B</x:v>
      </x:c>
      <x:c r="H77" t="str">
        <x:v>reflux pump B</x:v>
      </x:c>
      <x:c r="I77" t="str">
        <x:v>pump</x:v>
      </x:c>
      <x:c r="J77" t="str">
        <x:v>P1</x:v>
      </x:c>
      <x:c r="K77" t="str">
        <x:v>TECO</x:v>
      </x:c>
      <x:c r="L77" t="str">
        <x:v>MECH</x:v>
      </x:c>
      <x:c r="M77" t="str">
        <x:v>condenser_fouling</x:v>
      </x:c>
      <x:c r="N77" t="str">
        <x:v>vib high</x:v>
      </x:c>
      <x:c r="O77" t="str">
        <x:v>VIB</x:v>
      </x:c>
      <x:c r="P77" t="str">
        <x:v>ALIGN</x:v>
      </x:c>
      <x:c r="Q77" t="str">
        <x:v>Y</x:v>
      </x:c>
      <x:c r="R77" t="str">
        <x:v>18.1</x:v>
      </x:c>
      <x:c r="S77" t="str">
        <x:v>799.15</x:v>
      </x:c>
      <x:c r="T77" t="str">
        <x:v>chk P-501B - vib high frm ops</x:v>
      </x:c>
      <x:c r="U77" t="str">
        <x:v>days called for P-501B reflux pump B, high ovhd press seen during condenser fouling. Foud vib high; coupling align or cavitation. flushed impulse/sample line. need watch next feed swing. notif made by ops, maint attended same shift.</x:v>
      </x:c>
    </x:row>
    <x:row r="78" ht="15" hidden="0" customHeight="1">
      <x:c r="A78" t="str">
        <x:v>10450077</x:v>
      </x:c>
      <x:c r="B78" t="str">
        <x:v>40870077</x:v>
      </x:c>
      <x:c r="C78" t="str">
        <x:v>2021-09-24</x:v>
      </x:c>
      <x:c r="D78" t="str">
        <x:v>2021-09-25</x:v>
      </x:c>
      <x:c r="E78" t="str">
        <x:v>2021-09-26</x:v>
      </x:c>
      <x:c r="F78" t="str">
        <x:v>U400-DEETHANIZER-500</x:v>
      </x:c>
      <x:c r="G78" t="str">
        <x:v>E-502</x:v>
      </x:c>
      <x:c r="H78" t="str">
        <x:v>deethanizer overhead condenser</x:v>
      </x:c>
      <x:c r="I78" t="str">
        <x:v>condenser</x:v>
      </x:c>
      <x:c r="J78" t="str">
        <x:v>P3</x:v>
      </x:c>
      <x:c r="K78" t="str">
        <x:v>CLSD</x:v>
      </x:c>
      <x:c r="L78" t="str">
        <x:v>OPS+MECH</x:v>
      </x:c>
      <x:c r="M78" t="str">
        <x:v>pressure_control_fault</x:v>
      </x:c>
      <x:c r="N78" t="str">
        <x:v>high press</x:v>
      </x:c>
      <x:c r="O78" t="str">
        <x:v>PERF</x:v>
      </x:c>
      <x:c r="P78" t="str">
        <x:v>FOUL</x:v>
      </x:c>
      <x:c r="Q78" t="str">
        <x:v>N</x:v>
      </x:c>
      <x:c r="R78" t="str">
        <x:v>16.5</x:v>
      </x:c>
      <x:c r="S78" t="str">
        <x:v>5130.81</x:v>
      </x:c>
      <x:c r="T78" t="str">
        <x:v>E-502 pv not movng, high press</x:v>
      </x:c>
      <x:c r="U78" t="str">
        <x:v>days called for E-502 deethanizer overhead condnsr, pv not movng seen during pressure control fault. Foud high press; condensing duty poor. swapped to standby and repaired. readng close to dcs after job. notif made by ops, maint attended same shift.</x:v>
      </x:c>
    </x:row>
    <x:row r="79" ht="15" hidden="0" customHeight="1">
      <x:c r="A79" t="str">
        <x:v>10450078</x:v>
      </x:c>
      <x:c r="B79" t="str">
        <x:v>40870078</x:v>
      </x:c>
      <x:c r="C79" t="str">
        <x:v>2021-09-23</x:v>
      </x:c>
      <x:c r="D79" t="str">
        <x:v>2021-09-24</x:v>
      </x:c>
      <x:c r="E79" t="str">
        <x:v>2021-09-24</x:v>
      </x:c>
      <x:c r="F79" t="str">
        <x:v>U400-DEETHANIZER-500</x:v>
      </x:c>
      <x:c r="G79" t="str">
        <x:v>LV-501</x:v>
      </x:c>
      <x:c r="H79" t="str">
        <x:v>reflux drum level valve</x:v>
      </x:c>
      <x:c r="I79" t="str">
        <x:v>control_valve</x:v>
      </x:c>
      <x:c r="J79" t="str">
        <x:v>P3</x:v>
      </x:c>
      <x:c r="K79" t="str">
        <x:v>COMP</x:v>
      </x:c>
      <x:c r="L79" t="str">
        <x:v>OPS+INST</x:v>
      </x:c>
      <x:c r="M79" t="str">
        <x:v>valve_stiction</x:v>
      </x:c>
      <x:c r="N79" t="str">
        <x:v>hunting loop</x:v>
      </x:c>
      <x:c r="O79" t="str">
        <x:v>CTRL_OSC</x:v>
      </x:c>
      <x:c r="P79" t="str">
        <x:v>TUNE</x:v>
      </x:c>
      <x:c r="Q79" t="str">
        <x:v>N</x:v>
      </x:c>
      <x:c r="R79" t="str">
        <x:v>17.9</x:v>
      </x:c>
      <x:c r="S79" t="str">
        <x:v>5102.39</x:v>
      </x:c>
      <x:c r="T79" t="str">
        <x:v>LV-501 hunting loop asap</x:v>
      </x:c>
      <x:c r="U79" t="str">
        <x:v>A shift called for LV-501 reflux drum level valve, air leak seen during valve stiction. Foud hunting loop; bad response after upset. replaced positioner tubing and retuned small. readng close to dcs after job. notif made by ops, maint attended same shift.</x:v>
      </x:c>
    </x:row>
    <x:row r="80" ht="15" hidden="0" customHeight="1">
      <x:c r="A80" t="str">
        <x:v>10450079</x:v>
      </x:c>
      <x:c r="B80" t="str">
        <x:v>40870079</x:v>
      </x:c>
      <x:c r="C80" t="str">
        <x:v>2021-09-22</x:v>
      </x:c>
      <x:c r="D80" t="str">
        <x:v>2021-09-22</x:v>
      </x:c>
      <x:c r="E80" t="str">
        <x:v>2021-09-24</x:v>
      </x:c>
      <x:c r="F80" t="str">
        <x:v>U400-DEETHANIZER-500</x:v>
      </x:c>
      <x:c r="G80" t="str">
        <x:v>FT-501</x:v>
      </x:c>
      <x:c r="H80" t="str">
        <x:v>feed flow transmitter</x:v>
      </x:c>
      <x:c r="I80" t="str">
        <x:v>instrument</x:v>
      </x:c>
      <x:c r="J80" t="str">
        <x:v>P2</x:v>
      </x:c>
      <x:c r="K80" t="str">
        <x:v>COMP</x:v>
      </x:c>
      <x:c r="L80" t="str">
        <x:v>OPS+INST</x:v>
      </x:c>
      <x:c r="M80" t="str">
        <x:v>feed_flow_step</x:v>
      </x:c>
      <x:c r="N80" t="str">
        <x:v>impulse plugged</x:v>
      </x:c>
      <x:c r="O80" t="str">
        <x:v>PLUG</x:v>
      </x:c>
      <x:c r="P80" t="str">
        <x:v>PROCESS</x:v>
      </x:c>
      <x:c r="Q80" t="str">
        <x:v>N</x:v>
      </x:c>
      <x:c r="R80" t="str">
        <x:v>5.2</x:v>
      </x:c>
      <x:c r="S80" t="str">
        <x:v>4787.5</x:v>
      </x:c>
      <x:c r="T80" t="str">
        <x:v>FT-501 impulse plugged again, prod upset</x:v>
      </x:c>
      <x:c r="U80" t="str">
        <x:v>A shift called for FT-501 feed flow transmitter, column dp high seen during feed flow step. Foud impulse plugged; tap/line dirty. History shows same complain last mnth. stroke tested, response better. ops says ok for now. notif made by ops, maint attended same shift.</x:v>
      </x:c>
    </x:row>
    <x:row r="81" ht="15" hidden="0" customHeight="1">
      <x:c r="A81" t="str">
        <x:v>10450080</x:v>
      </x:c>
      <x:c r="B81" t="str">
        <x:v>40870080</x:v>
      </x:c>
      <x:c r="C81" t="str">
        <x:v>2021-09-28</x:v>
      </x:c>
      <x:c r="D81" t="str">
        <x:v>2021-09-29</x:v>
      </x:c>
      <x:c r="E81" t="str">
        <x:v>2021-09-30</x:v>
      </x:c>
      <x:c r="F81" t="str">
        <x:v>U400-DEETHANIZER-500</x:v>
      </x:c>
      <x:c r="G81" t="str">
        <x:v>P-501B</x:v>
      </x:c>
      <x:c r="H81" t="str">
        <x:v>reflux pump B</x:v>
      </x:c>
      <x:c r="I81" t="str">
        <x:v>pump</x:v>
      </x:c>
      <x:c r="J81" t="str">
        <x:v>P2</x:v>
      </x:c>
      <x:c r="K81" t="str">
        <x:v>TECO</x:v>
      </x:c>
      <x:c r="L81" t="str">
        <x:v>OPS+MECH</x:v>
      </x:c>
      <x:c r="M81" t="str">
        <x:v>reflux_pump_degradation</x:v>
      </x:c>
      <x:c r="N81" t="str">
        <x:v>motor trip</x:v>
      </x:c>
      <x:c r="O81" t="str">
        <x:v>MOTOR</x:v>
      </x:c>
      <x:c r="P81" t="str">
        <x:v>ELEC</x:v>
      </x:c>
      <x:c r="Q81" t="str">
        <x:v>N</x:v>
      </x:c>
      <x:c r="R81" t="str">
        <x:v>12.5</x:v>
      </x:c>
      <x:c r="S81" t="str">
        <x:v>11020.94</x:v>
      </x:c>
      <x:c r="T81" t="str">
        <x:v>chk P-501B - motor trip frm ops</x:v>
      </x:c>
      <x:c r="U81" t="str">
        <x:v>days called for P-501B reflux pump B, disch press low seen during reflux pump degradation. Foud motor trip; overload trip after upset. calibrated, loop checked with CCR. unit stable now. notif made by ops, maint attended same shift.</x:v>
      </x:c>
    </x:row>
    <x:row r="82" ht="15" hidden="0" customHeight="1">
      <x:c r="A82" t="str">
        <x:v>10450081</x:v>
      </x:c>
      <x:c r="B82" t="str">
        <x:v>40870081</x:v>
      </x:c>
      <x:c r="C82" t="str">
        <x:v>2021-09-28</x:v>
      </x:c>
      <x:c r="D82" t="str">
        <x:v>2021-09-28</x:v>
      </x:c>
      <x:c r="E82" t="str">
        <x:v>2021-09-30</x:v>
      </x:c>
      <x:c r="F82" t="str">
        <x:v>U400-DEETHANIZER-500</x:v>
      </x:c>
      <x:c r="G82" t="str">
        <x:v>LV-501</x:v>
      </x:c>
      <x:c r="H82" t="str">
        <x:v>reflux drum level valve</x:v>
      </x:c>
      <x:c r="I82" t="str">
        <x:v>control_valve</x:v>
      </x:c>
      <x:c r="J82" t="str">
        <x:v>P3</x:v>
      </x:c>
      <x:c r="K82" t="str">
        <x:v>COMP</x:v>
      </x:c>
      <x:c r="L82" t="str">
        <x:v>E&amp;I</x:v>
      </x:c>
      <x:c r="M82" t="str">
        <x:v>valve_stiction</x:v>
      </x:c>
      <x:c r="N82" t="str">
        <x:v>passing</x:v>
      </x:c>
      <x:c r="O82" t="str">
        <x:v>LEAK_BY</x:v>
      </x:c>
      <x:c r="P82" t="str">
        <x:v>SEAT</x:v>
      </x:c>
      <x:c r="Q82" t="str">
        <x:v>N</x:v>
      </x:c>
      <x:c r="R82" t="str">
        <x:v>8.8</x:v>
      </x:c>
      <x:c r="S82" t="str">
        <x:v>3267.68</x:v>
      </x:c>
      <x:c r="T82" t="str">
        <x:v>chk LV-501 - passing frm ops</x:v>
      </x:c>
      <x:c r="U82" t="str">
        <x:v>A shift called for LV-501 reflux drum level valve, op jumps seen during valve stiction. Foud passing; seat leak by. Could not get permit first time waiting area gas test. opened strainer, cleaned black sludge. need watch next feed swing. notif made by ops, maint attended same shift.</x:v>
      </x:c>
    </x:row>
    <x:row r="83" ht="15" hidden="0" customHeight="1">
      <x:c r="A83" t="str">
        <x:v>10450082</x:v>
      </x:c>
      <x:c r="B83" t="str">
        <x:v>40870082</x:v>
      </x:c>
      <x:c r="C83" t="str">
        <x:v>2021-10-01</x:v>
      </x:c>
      <x:c r="D83" t="str">
        <x:v>2021-10-02</x:v>
      </x:c>
      <x:c r="E83" t="str">
        <x:v>2021-10-03</x:v>
      </x:c>
      <x:c r="F83" t="str">
        <x:v>U400-DEETHANIZER-500</x:v>
      </x:c>
      <x:c r="G83" t="str">
        <x:v>LV-501</x:v>
      </x:c>
      <x:c r="H83" t="str">
        <x:v>reflux drum level valve</x:v>
      </x:c>
      <x:c r="I83" t="str">
        <x:v>control_valve</x:v>
      </x:c>
      <x:c r="J83" t="str">
        <x:v>P4</x:v>
      </x:c>
      <x:c r="K83" t="str">
        <x:v>CLSD</x:v>
      </x:c>
      <x:c r="L83" t="str">
        <x:v>ANLYZR</x:v>
      </x:c>
      <x:c r="M83" t="str">
        <x:v>valve_stiction</x:v>
      </x:c>
      <x:c r="N83" t="str">
        <x:v>hunting loop</x:v>
      </x:c>
      <x:c r="O83" t="str">
        <x:v>CTRL_OSC</x:v>
      </x:c>
      <x:c r="P83" t="str">
        <x:v>TUNE</x:v>
      </x:c>
      <x:c r="Q83" t="str">
        <x:v>N</x:v>
      </x:c>
      <x:c r="R83" t="str">
        <x:v>14.4</x:v>
      </x:c>
      <x:c r="S83" t="str">
        <x:v>2795.2</x:v>
      </x:c>
      <x:c r="T83" t="str">
        <x:v>LV-501 hunting loop again, prod upset</x:v>
      </x:c>
      <x:c r="U83" t="str">
        <x:v>B shift called for LV-501 reflux drum level vavle, air leak seen during vavle stiction. Foud hunting loop; bad response after upset. changed gasket and boxed up. no leak at handover. notif made by ops, maint attended same shift.</x:v>
      </x:c>
    </x:row>
    <x:row r="84" ht="15" hidden="0" customHeight="1">
      <x:c r="A84" t="str">
        <x:v>10450083</x:v>
      </x:c>
      <x:c r="B84" t="str">
        <x:v>40870083</x:v>
      </x:c>
      <x:c r="C84" t="str">
        <x:v>2021-09-29</x:v>
      </x:c>
      <x:c r="D84" t="str">
        <x:v>2021-09-29</x:v>
      </x:c>
      <x:c r="E84" t="str">
        <x:v>2021-09-29</x:v>
      </x:c>
      <x:c r="F84" t="str">
        <x:v>U400-DEETHANIZER-500</x:v>
      </x:c>
      <x:c r="G84" t="str">
        <x:v>E-501</x:v>
      </x:c>
      <x:c r="H84" t="str">
        <x:v>deethanizer reboiler</x:v>
      </x:c>
      <x:c r="I84" t="str">
        <x:v>reboiler</x:v>
      </x:c>
      <x:c r="J84" t="str">
        <x:v>P2</x:v>
      </x:c>
      <x:c r="K84" t="str">
        <x:v>COMP</x:v>
      </x:c>
      <x:c r="L84" t="str">
        <x:v>ANLYZR</x:v>
      </x:c>
      <x:c r="M84" t="str">
        <x:v>feed_flow_step</x:v>
      </x:c>
      <x:c r="N84" t="str">
        <x:v>circ poor</x:v>
      </x:c>
      <x:c r="O84" t="str">
        <x:v>NO_FLOW</x:v>
      </x:c>
      <x:c r="P84" t="str">
        <x:v>PLUG</x:v>
      </x:c>
      <x:c r="Q84" t="str">
        <x:v>N</x:v>
      </x:c>
      <x:c r="R84" t="str">
        <x:v>13.6</x:v>
      </x:c>
      <x:c r="S84" t="str">
        <x:v>4510.57</x:v>
      </x:c>
      <x:c r="T84" t="str">
        <x:v>E-501 not ok after feed flow step</x:v>
      </x:c>
      <x:c r="U84" t="str">
        <x:v>days called for E-501 deethanizer reboiler, column dp high seen during feed flow step. Foud circ poor; blocked inlet screen. tightened fittings, leak test ok. readng close to dcs after job. notif made by ops, maint attended same shift.</x:v>
      </x:c>
    </x:row>
    <x:row r="85" ht="15" hidden="0" customHeight="1">
      <x:c r="A85" t="str">
        <x:v>10450084</x:v>
      </x:c>
      <x:c r="B85" t="str">
        <x:v>40870084</x:v>
      </x:c>
      <x:c r="C85" t="str">
        <x:v>2021-10-01</x:v>
      </x:c>
      <x:c r="D85" t="str">
        <x:v>2021-10-02</x:v>
      </x:c>
      <x:c r="E85" t="str">
        <x:v>2021-10-05</x:v>
      </x:c>
      <x:c r="F85" t="str">
        <x:v>U400-DEETHANIZER-500</x:v>
      </x:c>
      <x:c r="G85" t="str">
        <x:v>TT-501B</x:v>
      </x:c>
      <x:c r="H85" t="str">
        <x:v>sensitive tray temperature tx</x:v>
      </x:c>
      <x:c r="I85" t="str">
        <x:v>instrument</x:v>
      </x:c>
      <x:c r="J85" t="str">
        <x:v>P3</x:v>
      </x:c>
      <x:c r="K85" t="str">
        <x:v>TECO</x:v>
      </x:c>
      <x:c r="L85" t="str">
        <x:v>ANLYZR</x:v>
      </x:c>
      <x:c r="M85" t="str">
        <x:v>reboiler_duty_loss</x:v>
      </x:c>
      <x:c r="N85" t="str">
        <x:v>range err</x:v>
      </x:c>
      <x:c r="O85" t="str">
        <x:v>SPAN</x:v>
      </x:c>
      <x:c r="P85" t="str">
        <x:v>CAL</x:v>
      </x:c>
      <x:c r="Q85" t="str">
        <x:v>N</x:v>
      </x:c>
      <x:c r="R85" t="str">
        <x:v>1.6</x:v>
      </x:c>
      <x:c r="S85" t="str">
        <x:v>6542.91</x:v>
      </x:c>
      <x:c r="T85" t="str">
        <x:v>TT-501B range err again, prod upset</x:v>
      </x:c>
      <x:c r="U85" t="str">
        <x:v>B shift called for TT-501B sensitive tray temperature tx, tray temp low seen during reboiler duty loss. Foud range err; span shifted. swapped to standby and repaired. need watch next feed swing. notif made by ops, maint attended same shift.</x:v>
      </x:c>
    </x:row>
    <x:row r="86" ht="15" hidden="0" customHeight="1">
      <x:c r="A86" t="str">
        <x:v>10450085</x:v>
      </x:c>
      <x:c r="B86" t="str">
        <x:v>40870085</x:v>
      </x:c>
      <x:c r="C86" t="str">
        <x:v>2021-10-03</x:v>
      </x:c>
      <x:c r="D86" t="str">
        <x:v>2021-10-03</x:v>
      </x:c>
      <x:c r="E86" t="str">
        <x:v>2021-10-04</x:v>
      </x:c>
      <x:c r="F86" t="str">
        <x:v>U400-DEETHANIZER-500</x:v>
      </x:c>
      <x:c r="G86" t="str">
        <x:v>TV-501</x:v>
      </x:c>
      <x:c r="H86" t="str">
        <x:v>reboiler hot medium valve</x:v>
      </x:c>
      <x:c r="I86" t="str">
        <x:v>control_valve</x:v>
      </x:c>
      <x:c r="J86" t="str">
        <x:v>P3</x:v>
      </x:c>
      <x:c r="K86" t="str">
        <x:v>TECO</x:v>
      </x:c>
      <x:c r="L86" t="str">
        <x:v>E&amp;I</x:v>
      </x:c>
      <x:c r="M86" t="str">
        <x:v>reboiler_duty_loss</x:v>
      </x:c>
      <x:c r="N86" t="str">
        <x:v>passing</x:v>
      </x:c>
      <x:c r="O86" t="str">
        <x:v>LEAK_BY</x:v>
      </x:c>
      <x:c r="P86" t="str">
        <x:v>SEAT</x:v>
      </x:c>
      <x:c r="Q86" t="str">
        <x:v>N</x:v>
      </x:c>
      <x:c r="R86" t="str">
        <x:v>5.9</x:v>
      </x:c>
      <x:c r="S86" t="str">
        <x:v>4695.52</x:v>
      </x:c>
      <x:c r="T86" t="str">
        <x:v>TV-501 passing again, prod upset</x:v>
      </x:c>
      <x:c r="U86" t="str">
        <x:v>days called for TV-501 reboiler hot medium vavle, tray temp low seen during reboiler duty loss. Foud passing; seat leak by. History shows same complain last mnth. flushed impulse/sample line. temp repair only, plan shutdown job. notif made by ops, maint attended same shift.</x:v>
      </x:c>
    </x:row>
    <x:row r="87" ht="15" hidden="0" customHeight="1">
      <x:c r="A87" t="str">
        <x:v>10450086</x:v>
      </x:c>
      <x:c r="B87" t="str">
        <x:v>40870086</x:v>
      </x:c>
      <x:c r="C87" t="str">
        <x:v>2021-10-08</x:v>
      </x:c>
      <x:c r="D87" t="str">
        <x:v>2021-10-10</x:v>
      </x:c>
      <x:c r="E87" t="str">
        <x:v>2021-10-15</x:v>
      </x:c>
      <x:c r="F87" t="str">
        <x:v>U400-DEETHANIZER-500</x:v>
      </x:c>
      <x:c r="G87" t="str">
        <x:v>PSV-501B</x:v>
      </x:c>
      <x:c r="H87" t="str">
        <x:v>column relief valve B</x:v>
      </x:c>
      <x:c r="I87" t="str">
        <x:v>relief</x:v>
      </x:c>
      <x:c r="J87" t="str">
        <x:v>P2</x:v>
      </x:c>
      <x:c r="K87" t="str">
        <x:v>TECO</x:v>
      </x:c>
      <x:c r="L87" t="str">
        <x:v>MECH</x:v>
      </x:c>
      <x:c r="M87" t="str">
        <x:v>pressure_control_fault</x:v>
      </x:c>
      <x:c r="N87" t="str">
        <x:v>car seal broken</x:v>
      </x:c>
      <x:c r="O87" t="str">
        <x:v>CSO</x:v>
      </x:c>
      <x:c r="P87" t="str">
        <x:v>HUMAN</x:v>
      </x:c>
      <x:c r="Q87" t="str">
        <x:v>N</x:v>
      </x:c>
      <x:c r="R87" t="str">
        <x:v>7.8</x:v>
      </x:c>
      <x:c r="S87" t="str">
        <x:v>5871.41</x:v>
      </x:c>
      <x:c r="T87" t="str">
        <x:v>PSV-501B car seal broken bad</x:v>
      </x:c>
      <x:c r="U87" t="str">
        <x:v>night called for PSV-501B column relief valve B, flare valve chekd seen during pressure control fault. Foud car seal broken; seal missing found. replaced positioner tubing and retuned small. still little hunting but acceptable. notif made by ops, maint attended same shift.</x:v>
      </x:c>
    </x:row>
    <x:row r="88" ht="15" hidden="0" customHeight="1">
      <x:c r="A88" t="str">
        <x:v>10450087</x:v>
      </x:c>
      <x:c r="B88" t="str">
        <x:v>40870087</x:v>
      </x:c>
      <x:c r="C88" t="str">
        <x:v>2021-10-06</x:v>
      </x:c>
      <x:c r="D88" t="str">
        <x:v>2021-10-07</x:v>
      </x:c>
      <x:c r="E88" t="str">
        <x:v>2021-10-09</x:v>
      </x:c>
      <x:c r="F88" t="str">
        <x:v>U400-DEETHANIZER-500</x:v>
      </x:c>
      <x:c r="G88" t="str">
        <x:v>TT-501B</x:v>
      </x:c>
      <x:c r="H88" t="str">
        <x:v>sensitive tray temperature tx</x:v>
      </x:c>
      <x:c r="I88" t="str">
        <x:v>instrument</x:v>
      </x:c>
      <x:c r="J88" t="str">
        <x:v>P2</x:v>
      </x:c>
      <x:c r="K88" t="str">
        <x:v>TECO</x:v>
      </x:c>
      <x:c r="L88" t="str">
        <x:v>ANLYZR</x:v>
      </x:c>
      <x:c r="M88" t="str">
        <x:v>reboiler_duty_loss</x:v>
      </x:c>
      <x:c r="N88" t="str">
        <x:v>loose wire</x:v>
      </x:c>
      <x:c r="O88" t="str">
        <x:v>SIGNAL</x:v>
      </x:c>
      <x:c r="P88" t="str">
        <x:v>ELEC</x:v>
      </x:c>
      <x:c r="Q88" t="str">
        <x:v>N</x:v>
      </x:c>
      <x:c r="R88" t="str">
        <x:v>14.7</x:v>
      </x:c>
      <x:c r="S88" t="str">
        <x:v>3789.23</x:v>
      </x:c>
      <x:c r="T88" t="str">
        <x:v>chk TT-501B - loose wire frm ops</x:v>
      </x:c>
      <x:c r="U88" t="str">
        <x:v>days called for TT-501B sensitive tray temperature tx, tray temp low seen during reboiler duty loss. Foud loose wire; term loose. Tag plate dirty, confirmd by line up with panel. changed gasket and boxed up. still little hunting but acceptable. notif made by ops, maint attended same shift.</x:v>
      </x:c>
    </x:row>
    <x:row r="89" ht="15" hidden="0" customHeight="1">
      <x:c r="A89" t="str">
        <x:v>10450088</x:v>
      </x:c>
      <x:c r="B89" t="str">
        <x:v>40870088</x:v>
      </x:c>
      <x:c r="C89" t="str">
        <x:v>2021-10-09</x:v>
      </x:c>
      <x:c r="D89" t="str">
        <x:v>2021-10-09</x:v>
      </x:c>
      <x:c r="E89" t="str">
        <x:v>2021-10-12</x:v>
      </x:c>
      <x:c r="F89" t="str">
        <x:v>U400-DEETHANIZER-500</x:v>
      </x:c>
      <x:c r="G89" t="str">
        <x:v>E-503</x:v>
      </x:c>
      <x:c r="H89" t="str">
        <x:v>feed bottoms exchanger</x:v>
      </x:c>
      <x:c r="I89" t="str">
        <x:v>exchanger</x:v>
      </x:c>
      <x:c r="J89" t="str">
        <x:v>P3</x:v>
      </x:c>
      <x:c r="K89" t="str">
        <x:v>TECO</x:v>
      </x:c>
      <x:c r="L89" t="str">
        <x:v>INST</x:v>
      </x:c>
      <x:c r="M89" t="str">
        <x:v>feed_flow_step</x:v>
      </x:c>
      <x:c r="N89" t="str">
        <x:v>temp approach bad</x:v>
      </x:c>
      <x:c r="O89" t="str">
        <x:v>PERF</x:v>
      </x:c>
      <x:c r="P89" t="str">
        <x:v>FOUL</x:v>
      </x:c>
      <x:c r="Q89" t="str">
        <x:v>N</x:v>
      </x:c>
      <x:c r="R89" t="str">
        <x:v>8.0</x:v>
      </x:c>
      <x:c r="S89" t="str">
        <x:v>9434.23</x:v>
      </x:c>
      <x:c r="T89" t="str">
        <x:v>E-503 not ok after feed flow step</x:v>
      </x:c>
      <x:c r="U89" t="str">
        <x:v>night called for E-503 feed bottoms exchanger, c2 recov down seen during feed flow step. Foud temp approach bad; heat transfer loss. History shows same complain last mnth. tightened fittings, leak test ok. readng close to dcs after job. notif made by ops, maint attended same shift.</x:v>
      </x:c>
    </x:row>
    <x:row r="90" ht="15" hidden="0" customHeight="1">
      <x:c r="A90" t="str">
        <x:v>10450089</x:v>
      </x:c>
      <x:c r="B90" t="str">
        <x:v>40870089</x:v>
      </x:c>
      <x:c r="C90" t="str">
        <x:v>2021-10-12</x:v>
      </x:c>
      <x:c r="D90" t="str">
        <x:v>2021-10-13</x:v>
      </x:c>
      <x:c r="E90" t="str">
        <x:v>2021-10-13</x:v>
      </x:c>
      <x:c r="F90" t="str">
        <x:v>U400-DEETHANIZER-500</x:v>
      </x:c>
      <x:c r="G90" t="str">
        <x:v>LV-501</x:v>
      </x:c>
      <x:c r="H90" t="str">
        <x:v>reflux drum level valve</x:v>
      </x:c>
      <x:c r="I90" t="str">
        <x:v>control_valve</x:v>
      </x:c>
      <x:c r="J90" t="str">
        <x:v>P3</x:v>
      </x:c>
      <x:c r="K90" t="str">
        <x:v>CLSD</x:v>
      </x:c>
      <x:c r="L90" t="str">
        <x:v>OPS+MECH</x:v>
      </x:c>
      <x:c r="M90" t="str">
        <x:v>valve_stiction</x:v>
      </x:c>
      <x:c r="N90" t="str">
        <x:v>air leak</x:v>
      </x:c>
      <x:c r="O90" t="str">
        <x:v>AIR_LEAK</x:v>
      </x:c>
      <x:c r="P90" t="str">
        <x:v>TUBING</x:v>
      </x:c>
      <x:c r="Q90" t="str">
        <x:v>N</x:v>
      </x:c>
      <x:c r="R90" t="str">
        <x:v>11.0</x:v>
      </x:c>
      <x:c r="S90" t="str">
        <x:v>368.47</x:v>
      </x:c>
      <x:c r="T90" t="str">
        <x:v>LV-501 air leak, air leak</x:v>
      </x:c>
      <x:c r="U90" t="str">
        <x:v>night called for LV-501 reflux drum level valve, position bad seen during valve stiction. Foud air leak; positioner supply drop. stroke tested, response better. still little hunting but acceptable. notif made by ops, maint attended same shift.</x:v>
      </x:c>
    </x:row>
    <x:row r="91" ht="15" hidden="0" customHeight="1">
      <x:c r="A91" t="str">
        <x:v>10450090</x:v>
      </x:c>
      <x:c r="B91" t="str">
        <x:v>40870090</x:v>
      </x:c>
      <x:c r="C91" t="str">
        <x:v>2021-10-09</x:v>
      </x:c>
      <x:c r="D91" t="str">
        <x:v>2021-10-09</x:v>
      </x:c>
      <x:c r="E91" t="str">
        <x:v>2021-10-10</x:v>
      </x:c>
      <x:c r="F91" t="str">
        <x:v>U400-DEETHANIZER-500</x:v>
      </x:c>
      <x:c r="G91" t="str">
        <x:v>E-502</x:v>
      </x:c>
      <x:c r="H91" t="str">
        <x:v>deethanizer overhead condenser</x:v>
      </x:c>
      <x:c r="I91" t="str">
        <x:v>condenser</x:v>
      </x:c>
      <x:c r="J91" t="str">
        <x:v>P2</x:v>
      </x:c>
      <x:c r="K91" t="str">
        <x:v>TECO</x:v>
      </x:c>
      <x:c r="L91" t="str">
        <x:v>ANLYZR</x:v>
      </x:c>
      <x:c r="M91" t="str">
        <x:v>feed_temperature_ramp</x:v>
      </x:c>
      <x:c r="N91" t="str">
        <x:v>high press</x:v>
      </x:c>
      <x:c r="O91" t="str">
        <x:v>PERF</x:v>
      </x:c>
      <x:c r="P91" t="str">
        <x:v>FOUL</x:v>
      </x:c>
      <x:c r="Q91" t="str">
        <x:v>N</x:v>
      </x:c>
      <x:c r="R91" t="str">
        <x:v>15.6</x:v>
      </x:c>
      <x:c r="S91" t="str">
        <x:v>16465.74</x:v>
      </x:c>
      <x:c r="T91" t="str">
        <x:v>E-502 high press noisy</x:v>
      </x:c>
      <x:c r="U91" t="str">
        <x:v>days called for E-502 deethanizer overhead condenser, tray temp drift seen during feed temperature ramp. Foud high press; condensing duty poor. stroke tested, response better. need watch next feed swing. notif made by ops, maint attended same shift.</x:v>
      </x:c>
    </x:row>
    <x:row r="92" ht="15" hidden="0" customHeight="1">
      <x:c r="A92" t="str">
        <x:v>10450091</x:v>
      </x:c>
      <x:c r="B92" t="str">
        <x:v>40870091</x:v>
      </x:c>
      <x:c r="C92" t="str">
        <x:v>2021-10-15</x:v>
      </x:c>
      <x:c r="D92" t="str">
        <x:v>2021-10-15</x:v>
      </x:c>
      <x:c r="E92" t="str">
        <x:v>2021-10-17</x:v>
      </x:c>
      <x:c r="F92" t="str">
        <x:v>U400-DEETHANIZER-500</x:v>
      </x:c>
      <x:c r="G92" t="str">
        <x:v>E-501</x:v>
      </x:c>
      <x:c r="H92" t="str">
        <x:v>deethanizer reboiler</x:v>
      </x:c>
      <x:c r="I92" t="str">
        <x:v>reboiler</x:v>
      </x:c>
      <x:c r="J92" t="str">
        <x:v>P1</x:v>
      </x:c>
      <x:c r="K92" t="str">
        <x:v>TECO</x:v>
      </x:c>
      <x:c r="L92" t="str">
        <x:v>OPS+MECH</x:v>
      </x:c>
      <x:c r="M92" t="str">
        <x:v>feed_temperature_ramp</x:v>
      </x:c>
      <x:c r="N92" t="str">
        <x:v>circ poor</x:v>
      </x:c>
      <x:c r="O92" t="str">
        <x:v>NO_FLOW</x:v>
      </x:c>
      <x:c r="P92" t="str">
        <x:v>PLUG</x:v>
      </x:c>
      <x:c r="Q92" t="str">
        <x:v>N</x:v>
      </x:c>
      <x:c r="R92" t="str">
        <x:v>3.3</x:v>
      </x:c>
      <x:c r="S92" t="str">
        <x:v>7886.22</x:v>
      </x:c>
      <x:c r="T92" t="str">
        <x:v>E-501 circ poor again, prod upset</x:v>
      </x:c>
      <x:c r="U92" t="str">
        <x:v>B shift called for E-501 deethanizer reboiler, spec off seen during feed temp ramp. Foud circ poor; blocked inlet screen. calibrated, loop chekd with CCR. readng close to dcs after job. notif made by ops, maint attended same shift.</x:v>
      </x:c>
    </x:row>
    <x:row r="93" ht="15" hidden="0" customHeight="1">
      <x:c r="A93" t="str">
        <x:v>10450092</x:v>
      </x:c>
      <x:c r="B93" t="str">
        <x:v>40870092</x:v>
      </x:c>
      <x:c r="C93" t="str">
        <x:v>2021-10-16</x:v>
      </x:c>
      <x:c r="D93" t="str">
        <x:v>2021-10-17</x:v>
      </x:c>
      <x:c r="E93" t="str">
        <x:v>2021-10-17</x:v>
      </x:c>
      <x:c r="F93" t="str">
        <x:v>U400-DEETHANIZER-500</x:v>
      </x:c>
      <x:c r="G93" t="str">
        <x:v>E-501</x:v>
      </x:c>
      <x:c r="H93" t="str">
        <x:v>deethanizer reboiler</x:v>
      </x:c>
      <x:c r="I93" t="str">
        <x:v>reboiler</x:v>
      </x:c>
      <x:c r="J93" t="str">
        <x:v>P2</x:v>
      </x:c>
      <x:c r="K93" t="str">
        <x:v>TECO</x:v>
      </x:c>
      <x:c r="L93" t="str">
        <x:v>MECH</x:v>
      </x:c>
      <x:c r="M93" t="str">
        <x:v>reboiler_duty_loss</x:v>
      </x:c>
      <x:c r="N93" t="str">
        <x:v>circ poor</x:v>
      </x:c>
      <x:c r="O93" t="str">
        <x:v>NO_FLOW</x:v>
      </x:c>
      <x:c r="P93" t="str">
        <x:v>PLUG</x:v>
      </x:c>
      <x:c r="Q93" t="str">
        <x:v>N</x:v>
      </x:c>
      <x:c r="R93" t="str">
        <x:v>9.4</x:v>
      </x:c>
      <x:c r="S93" t="str">
        <x:v>6607.79</x:v>
      </x:c>
      <x:c r="T93" t="str">
        <x:v>E-501 circ poor temp fix</x:v>
      </x:c>
      <x:c r="U93" t="str">
        <x:v>C shift called for E-501 deethanizer rebiler, c2 in btm seen during rebiler duty loss. Foud circ poor; blocked inlet screen. reset trip and monitored for 2 hrs. no leak at handover. notif made by ops, maint attended same shift.</x:v>
      </x:c>
    </x:row>
    <x:row r="94" ht="15" hidden="0" customHeight="1">
      <x:c r="A94" t="str">
        <x:v>10450093</x:v>
      </x:c>
      <x:c r="B94" t="str">
        <x:v>40870093</x:v>
      </x:c>
      <x:c r="C94" t="str">
        <x:v>2021-10-16</x:v>
      </x:c>
      <x:c r="D94" t="str">
        <x:v>2021-10-16</x:v>
      </x:c>
      <x:c r="E94" t="str">
        <x:v>2021-10-18</x:v>
      </x:c>
      <x:c r="F94" t="str">
        <x:v>U400-DEETHANIZER-500</x:v>
      </x:c>
      <x:c r="G94" t="str">
        <x:v>E-503</x:v>
      </x:c>
      <x:c r="H94" t="str">
        <x:v>feed bottoms exchanger</x:v>
      </x:c>
      <x:c r="I94" t="str">
        <x:v>exchanger</x:v>
      </x:c>
      <x:c r="J94" t="str">
        <x:v>P3</x:v>
      </x:c>
      <x:c r="K94" t="str">
        <x:v>CLSD</x:v>
      </x:c>
      <x:c r="L94" t="str">
        <x:v>MECH</x:v>
      </x:c>
      <x:c r="M94" t="str">
        <x:v>feed_temperature_ramp</x:v>
      </x:c>
      <x:c r="N94" t="str">
        <x:v>gasket weep</x:v>
      </x:c>
      <x:c r="O94" t="str">
        <x:v>LEAK</x:v>
      </x:c>
      <x:c r="P94" t="str">
        <x:v>GASKET</x:v>
      </x:c>
      <x:c r="Q94" t="str">
        <x:v>N</x:v>
      </x:c>
      <x:c r="R94" t="str">
        <x:v>1.7</x:v>
      </x:c>
      <x:c r="S94" t="str">
        <x:v>1503.01</x:v>
      </x:c>
      <x:c r="T94" t="str">
        <x:v>E-503 not ok after feed temperature ramp</x:v>
      </x:c>
      <x:c r="U94" t="str">
        <x:v>days called for E-503 feed bottoms exchanger, rb duty up seen during feed temp ramp. Foud gasket weep; flange sweating. changed gasket and boxed up. no leak at handover. notif made by ops, maint attended same shift.</x:v>
      </x:c>
    </x:row>
    <x:row r="95" ht="15" hidden="0" customHeight="1">
      <x:c r="A95" t="str">
        <x:v>10450094</x:v>
      </x:c>
      <x:c r="B95" t="str">
        <x:v>40870094</x:v>
      </x:c>
      <x:c r="C95" t="str">
        <x:v>2021-10-15</x:v>
      </x:c>
      <x:c r="D95" t="str">
        <x:v>2021-10-17</x:v>
      </x:c>
      <x:c r="E95" t="str">
        <x:v>2021-10-17</x:v>
      </x:c>
      <x:c r="F95" t="str">
        <x:v>U400-DEETHANIZER-500</x:v>
      </x:c>
      <x:c r="G95" t="str">
        <x:v>FT-501</x:v>
      </x:c>
      <x:c r="H95" t="str">
        <x:v>feed flow transmitter</x:v>
      </x:c>
      <x:c r="I95" t="str">
        <x:v>instrument</x:v>
      </x:c>
      <x:c r="J95" t="str">
        <x:v>P3</x:v>
      </x:c>
      <x:c r="K95" t="str">
        <x:v>COMP</x:v>
      </x:c>
      <x:c r="L95" t="str">
        <x:v>E&amp;I</x:v>
      </x:c>
      <x:c r="M95" t="str">
        <x:v>feed_flow_step</x:v>
      </x:c>
      <x:c r="N95" t="str">
        <x:v>no signal</x:v>
      </x:c>
      <x:c r="O95" t="str">
        <x:v>NO_SIGNAL</x:v>
      </x:c>
      <x:c r="P95" t="str">
        <x:v>ELEC</x:v>
      </x:c>
      <x:c r="Q95" t="str">
        <x:v>N</x:v>
      </x:c>
      <x:c r="R95" t="str">
        <x:v>8.7</x:v>
      </x:c>
      <x:c r="S95" t="str">
        <x:v>6648.67</x:v>
      </x:c>
      <x:c r="T95" t="str">
        <x:v>FT-501 not ok after feed flow step</x:v>
      </x:c>
      <x:c r="U95" t="str">
        <x:v>A shift called for FT-501 feed flow transmitter, lvl swing seen during feed flow step. Foud no signal; 24v or card issue. Could not get permit first time waiting area gas test. replaced positioner tubing and retuned small. temp repair only, plan shutdown job. notif made by ops, maint attended same shift.</x:v>
      </x:c>
    </x:row>
    <x:row r="96" ht="15" hidden="0" customHeight="1">
      <x:c r="A96" t="str">
        <x:v>10450095</x:v>
      </x:c>
      <x:c r="B96" t="str">
        <x:v>40870095</x:v>
      </x:c>
      <x:c r="C96" t="str">
        <x:v>2021-10-21</x:v>
      </x:c>
      <x:c r="D96" t="str">
        <x:v>2021-10-21</x:v>
      </x:c>
      <x:c r="E96" t="str">
        <x:v>2021-10-24</x:v>
      </x:c>
      <x:c r="F96" t="str">
        <x:v>U400-DEETHANIZER-500</x:v>
      </x:c>
      <x:c r="G96" t="str">
        <x:v>T-501</x:v>
      </x:c>
      <x:c r="H96" t="str">
        <x:v>deethanizer column</x:v>
      </x:c>
      <x:c r="I96" t="str">
        <x:v>column</x:v>
      </x:c>
      <x:c r="J96" t="str">
        <x:v>P3</x:v>
      </x:c>
      <x:c r="K96" t="str">
        <x:v>TECO</x:v>
      </x:c>
      <x:c r="L96" t="str">
        <x:v>ROT</x:v>
      </x:c>
      <x:c r="M96" t="str">
        <x:v>feed_flow_step</x:v>
      </x:c>
      <x:c r="N96" t="str">
        <x:v>weeping flange</x:v>
      </x:c>
      <x:c r="O96" t="str">
        <x:v>LEAK</x:v>
      </x:c>
      <x:c r="P96" t="str">
        <x:v>GASKET</x:v>
      </x:c>
      <x:c r="Q96" t="str">
        <x:v>N</x:v>
      </x:c>
      <x:c r="R96" t="str">
        <x:v>1.8</x:v>
      </x:c>
      <x:c r="S96" t="str">
        <x:v>454.87</x:v>
      </x:c>
      <x:c r="T96" t="str">
        <x:v>T-501 weeping flange asap</x:v>
      </x:c>
      <x:c r="U96" t="str">
        <x:v>days called for T-501 deethanizer column, feed jump seen during feed flow step. Foud weeping flange; manway/flange seep. History shows same complain last mnth. stroke tested, response better. still little hunting but acceptable. notif made by ops, maint attended same shift.</x:v>
      </x:c>
    </x:row>
    <x:row r="97" ht="15" hidden="0" customHeight="1">
      <x:c r="A97" t="str">
        <x:v>10450096</x:v>
      </x:c>
      <x:c r="B97" t="str">
        <x:v>40870096</x:v>
      </x:c>
      <x:c r="C97" t="str">
        <x:v>2021-10-17</x:v>
      </x:c>
      <x:c r="D97" t="str">
        <x:v>2021-10-17</x:v>
      </x:c>
      <x:c r="E97" t="str">
        <x:v>2021-10-17</x:v>
      </x:c>
      <x:c r="F97" t="str">
        <x:v>U400-DEETHANIZER-500</x:v>
      </x:c>
      <x:c r="G97" t="str">
        <x:v>LV-501</x:v>
      </x:c>
      <x:c r="H97" t="str">
        <x:v>reflux drum level valve</x:v>
      </x:c>
      <x:c r="I97" t="str">
        <x:v>control_valve</x:v>
      </x:c>
      <x:c r="J97" t="str">
        <x:v>P3</x:v>
      </x:c>
      <x:c r="K97" t="str">
        <x:v>TECO</x:v>
      </x:c>
      <x:c r="L97" t="str">
        <x:v>MECH</x:v>
      </x:c>
      <x:c r="M97" t="str">
        <x:v>valve_stiction</x:v>
      </x:c>
      <x:c r="N97" t="str">
        <x:v>air leak</x:v>
      </x:c>
      <x:c r="O97" t="str">
        <x:v>AIR_LEAK</x:v>
      </x:c>
      <x:c r="P97" t="str">
        <x:v>TUBING</x:v>
      </x:c>
      <x:c r="Q97" t="str">
        <x:v>N</x:v>
      </x:c>
      <x:c r="R97" t="str">
        <x:v>7.3</x:v>
      </x:c>
      <x:c r="S97" t="str">
        <x:v>5074.32</x:v>
      </x:c>
      <x:c r="T97" t="str">
        <x:v>chk LV-501 - air leak frm ops</x:v>
      </x:c>
      <x:c r="U97" t="str">
        <x:v>A shift called for LV-501 reflux drum level valve, op jumps seen during valve stiction. Foud air leak; positioner supply drop. opened strainer, cleaned black sludge. no leak at handover. notif made by ops, maint attended same shift.</x:v>
      </x:c>
    </x:row>
    <x:row r="98" ht="15" hidden="0" customHeight="1">
      <x:c r="A98" t="str">
        <x:v>10450097</x:v>
      </x:c>
      <x:c r="B98" t="str">
        <x:v>40870097</x:v>
      </x:c>
      <x:c r="C98" t="str">
        <x:v>2021-10-21</x:v>
      </x:c>
      <x:c r="D98" t="str">
        <x:v>2021-10-22</x:v>
      </x:c>
      <x:c r="E98" t="str">
        <x:v>2021-10-23</x:v>
      </x:c>
      <x:c r="F98" t="str">
        <x:v>U400-DEETHANIZER-500</x:v>
      </x:c>
      <x:c r="G98" t="str">
        <x:v>TV-502</x:v>
      </x:c>
      <x:c r="H98" t="str">
        <x:v>condenser cooling valve</x:v>
      </x:c>
      <x:c r="I98" t="str">
        <x:v>control_valve</x:v>
      </x:c>
      <x:c r="J98" t="str">
        <x:v>P3</x:v>
      </x:c>
      <x:c r="K98" t="str">
        <x:v>COMP</x:v>
      </x:c>
      <x:c r="L98" t="str">
        <x:v>VALVE</x:v>
      </x:c>
      <x:c r="M98" t="str">
        <x:v>condenser_fouling</x:v>
      </x:c>
      <x:c r="N98" t="str">
        <x:v>air leak</x:v>
      </x:c>
      <x:c r="O98" t="str">
        <x:v>AIR_LEAK</x:v>
      </x:c>
      <x:c r="P98" t="str">
        <x:v>TUBING</x:v>
      </x:c>
      <x:c r="Q98" t="str">
        <x:v>N</x:v>
      </x:c>
      <x:c r="R98" t="str">
        <x:v>13.4</x:v>
      </x:c>
      <x:c r="S98" t="str">
        <x:v>1689.42</x:v>
      </x:c>
      <x:c r="T98" t="str">
        <x:v>TV-502 air leak bad</x:v>
      </x:c>
      <x:c r="U98" t="str">
        <x:v>C shift called for TV-502 condenser cooling valve, cw dt low seen during condenser fouling. Foud air leak; positioner supply drop. Could not get permit first time waiting area gas test. replaced positioner tubing and retuned small. unit stable now. notif made by ops, maint attended same shift.</x:v>
      </x:c>
    </x:row>
    <x:row r="99" ht="15" hidden="0" customHeight="1">
      <x:c r="A99" t="str">
        <x:v>10450098</x:v>
      </x:c>
      <x:c r="B99" t="str">
        <x:v>40870098</x:v>
      </x:c>
      <x:c r="C99" t="str">
        <x:v>2021-10-24</x:v>
      </x:c>
      <x:c r="D99" t="str">
        <x:v>2021-10-24</x:v>
      </x:c>
      <x:c r="E99" t="str">
        <x:v>2021-10-25</x:v>
      </x:c>
      <x:c r="F99" t="str">
        <x:v>U400-DEETHANIZER-500</x:v>
      </x:c>
      <x:c r="G99" t="str">
        <x:v>FV-502</x:v>
      </x:c>
      <x:c r="H99" t="str">
        <x:v>reflux flow control valve</x:v>
      </x:c>
      <x:c r="I99" t="str">
        <x:v>control_valve</x:v>
      </x:c>
      <x:c r="J99" t="str">
        <x:v>P3</x:v>
      </x:c>
      <x:c r="K99" t="str">
        <x:v>TECO</x:v>
      </x:c>
      <x:c r="L99" t="str">
        <x:v>INST</x:v>
      </x:c>
      <x:c r="M99" t="str">
        <x:v>reflux_pump_degradation</x:v>
      </x:c>
      <x:c r="N99" t="str">
        <x:v>not stroking</x:v>
      </x:c>
      <x:c r="O99" t="str">
        <x:v>NO_TRAVEL</x:v>
      </x:c>
      <x:c r="P99" t="str">
        <x:v>ACT</x:v>
      </x:c>
      <x:c r="Q99" t="str">
        <x:v>N</x:v>
      </x:c>
      <x:c r="R99" t="str">
        <x:v>4.1</x:v>
      </x:c>
      <x:c r="S99" t="str">
        <x:v>6619.32</x:v>
      </x:c>
      <x:c r="T99" t="str">
        <x:v>chk FV-502 - not stroking frm ops</x:v>
      </x:c>
      <x:c r="U99" t="str">
        <x:v>night called for FV-502 reflux flow ctrl vavle, pump vib seen during reflux pump degradation. Foud not stroking; actuator weak. reset trip and monitored for 2 hrs. still little hunting but acceptable. notif made by ops, maint attended same shift.</x:v>
      </x:c>
    </x:row>
    <x:row r="100" ht="15" hidden="0" customHeight="1">
      <x:c r="A100" t="str">
        <x:v>10450099</x:v>
      </x:c>
      <x:c r="B100" t="str">
        <x:v>40870099</x:v>
      </x:c>
      <x:c r="C100" t="str">
        <x:v>2021-10-26</x:v>
      </x:c>
      <x:c r="D100" t="str">
        <x:v>2021-10-26</x:v>
      </x:c>
      <x:c r="E100" t="str">
        <x:v>2021-10-28</x:v>
      </x:c>
      <x:c r="F100" t="str">
        <x:v>U400-DEETHANIZER-500</x:v>
      </x:c>
      <x:c r="G100" t="str">
        <x:v>TT-503</x:v>
      </x:c>
      <x:c r="H100" t="str">
        <x:v>reboiler outlet temperature tx</x:v>
      </x:c>
      <x:c r="I100" t="str">
        <x:v>instrument</x:v>
      </x:c>
      <x:c r="J100" t="str">
        <x:v>P1</x:v>
      </x:c>
      <x:c r="K100" t="str">
        <x:v>CLSD</x:v>
      </x:c>
      <x:c r="L100" t="str">
        <x:v>E&amp;I</x:v>
      </x:c>
      <x:c r="M100" t="str">
        <x:v>reboiler_duty_loss</x:v>
      </x:c>
      <x:c r="N100" t="str">
        <x:v>range err</x:v>
      </x:c>
      <x:c r="O100" t="str">
        <x:v>SPAN</x:v>
      </x:c>
      <x:c r="P100" t="str">
        <x:v>CAL</x:v>
      </x:c>
      <x:c r="Q100" t="str">
        <x:v>N</x:v>
      </x:c>
      <x:c r="R100" t="str">
        <x:v>11.2</x:v>
      </x:c>
      <x:c r="S100" t="str">
        <x:v>2042.21</x:v>
      </x:c>
      <x:c r="T100" t="str">
        <x:v>TT-503 range err after upset</x:v>
      </x:c>
      <x:c r="U100" t="str">
        <x:v>C shift called for TT-503 reboiler outlet temperature tx, low heat seen during reboiler duty loss. Foud range err; span shifted. reset trip and monitored for 2 hrs. readng close to dcs after job. notif made by ops, maint attended same shift.</x:v>
      </x:c>
    </x:row>
    <x:row r="101" ht="15" hidden="0" customHeight="1">
      <x:c r="A101" t="str">
        <x:v>10450100</x:v>
      </x:c>
      <x:c r="B101" t="str">
        <x:v>40870100</x:v>
      </x:c>
      <x:c r="C101" t="str">
        <x:v>2021-10-27</x:v>
      </x:c>
      <x:c r="D101" t="str">
        <x:v>2021-10-28</x:v>
      </x:c>
      <x:c r="E101" t="str">
        <x:v>2021-10-31</x:v>
      </x:c>
      <x:c r="F101" t="str">
        <x:v>U400-DEETHANIZER-500</x:v>
      </x:c>
      <x:c r="G101" t="str">
        <x:v>E-501</x:v>
      </x:c>
      <x:c r="H101" t="str">
        <x:v>deethanizer reboiler</x:v>
      </x:c>
      <x:c r="I101" t="str">
        <x:v>reboiler</x:v>
      </x:c>
      <x:c r="J101" t="str">
        <x:v>P1</x:v>
      </x:c>
      <x:c r="K101" t="str">
        <x:v>CLSD</x:v>
      </x:c>
      <x:c r="L101" t="str">
        <x:v>VALVE</x:v>
      </x:c>
      <x:c r="M101" t="str">
        <x:v>reflux_pump_degradation</x:v>
      </x:c>
      <x:c r="N101" t="str">
        <x:v>low duty</x:v>
      </x:c>
      <x:c r="O101" t="str">
        <x:v>DUTY_LOSS</x:v>
      </x:c>
      <x:c r="P101" t="str">
        <x:v>UTILITY</x:v>
      </x:c>
      <x:c r="Q101" t="str">
        <x:v>N</x:v>
      </x:c>
      <x:c r="R101" t="str">
        <x:v>2.8</x:v>
      </x:c>
      <x:c r="S101" t="str">
        <x:v>12494.74</x:v>
      </x:c>
      <x:c r="T101" t="str">
        <x:v>E-501 low duty temp fix</x:v>
      </x:c>
      <x:c r="U101" t="str">
        <x:v>C shift called for E-501 deethanizer rebiler, disch press low seen during reflux pump degradation. Foud low duty; hm valve/strainer issue. changed gasket and boxed up. temp repair only, plan shutdown job. notif made by ops, maint attended same shift.</x:v>
      </x:c>
    </x:row>
    <x:row r="102" ht="15" hidden="0" customHeight="1">
      <x:c r="A102" t="str">
        <x:v>10450101</x:v>
      </x:c>
      <x:c r="B102" t="str">
        <x:v>40870101</x:v>
      </x:c>
      <x:c r="C102" t="str">
        <x:v>2021-10-30</x:v>
      </x:c>
      <x:c r="D102" t="str">
        <x:v>2021-10-31</x:v>
      </x:c>
      <x:c r="E102" t="str">
        <x:v>2021-11-01</x:v>
      </x:c>
      <x:c r="F102" t="str">
        <x:v>U400-DEETHANIZER-500</x:v>
      </x:c>
      <x:c r="G102" t="str">
        <x:v>FT-502</x:v>
      </x:c>
      <x:c r="H102" t="str">
        <x:v>reflux flow transmitter</x:v>
      </x:c>
      <x:c r="I102" t="str">
        <x:v>instrument</x:v>
      </x:c>
      <x:c r="J102" t="str">
        <x:v>P2</x:v>
      </x:c>
      <x:c r="K102" t="str">
        <x:v>TECO</x:v>
      </x:c>
      <x:c r="L102" t="str">
        <x:v>OPS+INST</x:v>
      </x:c>
      <x:c r="M102" t="str">
        <x:v>normal_wear</x:v>
      </x:c>
      <x:c r="N102" t="str">
        <x:v>loose wire</x:v>
      </x:c>
      <x:c r="O102" t="str">
        <x:v>SIGNAL</x:v>
      </x:c>
      <x:c r="P102" t="str">
        <x:v>ELEC</x:v>
      </x:c>
      <x:c r="Q102" t="str">
        <x:v>N</x:v>
      </x:c>
      <x:c r="R102" t="str">
        <x:v>12.3</x:v>
      </x:c>
      <x:c r="S102" t="str">
        <x:v>2953.48</x:v>
      </x:c>
      <x:c r="T102" t="str">
        <x:v>FT-502 loose wire again, prod upset</x:v>
      </x:c>
      <x:c r="U102" t="str">
        <x:v>night called for FT-502 reflux flow transmitter, bad reading seen during normal wear. Foud loose wire; term loose. No spare in store at first, used refurb one from shop. swapped to standby and repaired. no leak at handover. notif made by ops, maint attended same shift.</x:v>
      </x:c>
    </x:row>
    <x:row r="103" ht="15" hidden="0" customHeight="1">
      <x:c r="A103" t="str">
        <x:v>10450102</x:v>
      </x:c>
      <x:c r="B103" t="str">
        <x:v>40870102</x:v>
      </x:c>
      <x:c r="C103" t="str">
        <x:v>2021-10-29</x:v>
      </x:c>
      <x:c r="D103" t="str">
        <x:v>2021-10-30</x:v>
      </x:c>
      <x:c r="E103" t="str">
        <x:v>2021-10-31</x:v>
      </x:c>
      <x:c r="F103" t="str">
        <x:v>U400-DEETHANIZER-500</x:v>
      </x:c>
      <x:c r="G103" t="str">
        <x:v>LV-502</x:v>
      </x:c>
      <x:c r="H103" t="str">
        <x:v>bottoms level valve</x:v>
      </x:c>
      <x:c r="I103" t="str">
        <x:v>control_valve</x:v>
      </x:c>
      <x:c r="J103" t="str">
        <x:v>P3</x:v>
      </x:c>
      <x:c r="K103" t="str">
        <x:v>TECO</x:v>
      </x:c>
      <x:c r="L103" t="str">
        <x:v>OPS+INST</x:v>
      </x:c>
      <x:c r="M103" t="str">
        <x:v>valve_stiction</x:v>
      </x:c>
      <x:c r="N103" t="str">
        <x:v>stiction</x:v>
      </x:c>
      <x:c r="O103" t="str">
        <x:v>STICK</x:v>
      </x:c>
      <x:c r="P103" t="str">
        <x:v>PACKING</x:v>
      </x:c>
      <x:c r="Q103" t="str">
        <x:v>N</x:v>
      </x:c>
      <x:c r="R103" t="str">
        <x:v>1.5</x:v>
      </x:c>
      <x:c r="S103" t="str">
        <x:v>95.01</x:v>
      </x:c>
      <x:c r="T103" t="str">
        <x:v>LV-502 not ok after valve stiction</x:v>
      </x:c>
      <x:c r="U103" t="str">
        <x:v>C shift called for LV-502 bottoms level valve, valve sticking seen during valve stiction. Foud stiction; stem sticky and pos err. Line was hot so job done slow and with ops standing by. changed gasket and boxed up. need watch next feed swing. notif made by ops, maint attended same shift.</x:v>
      </x:c>
    </x:row>
    <x:row r="104" ht="15" hidden="0" customHeight="1">
      <x:c r="A104" t="str">
        <x:v>10450103</x:v>
      </x:c>
      <x:c r="B104" t="str">
        <x:v>40870103</x:v>
      </x:c>
      <x:c r="C104" t="str">
        <x:v>2021-10-27</x:v>
      </x:c>
      <x:c r="D104" t="str">
        <x:v>2021-10-28</x:v>
      </x:c>
      <x:c r="E104" t="str">
        <x:v>2021-10-29</x:v>
      </x:c>
      <x:c r="F104" t="str">
        <x:v>U400-DEETHANIZER-500</x:v>
      </x:c>
      <x:c r="G104" t="str">
        <x:v>FT-501</x:v>
      </x:c>
      <x:c r="H104" t="str">
        <x:v>feed flow transmitter</x:v>
      </x:c>
      <x:c r="I104" t="str">
        <x:v>instrument</x:v>
      </x:c>
      <x:c r="J104" t="str">
        <x:v>P3</x:v>
      </x:c>
      <x:c r="K104" t="str">
        <x:v>COMP</x:v>
      </x:c>
      <x:c r="L104" t="str">
        <x:v>INST</x:v>
      </x:c>
      <x:c r="M104" t="str">
        <x:v>feed_flow_step</x:v>
      </x:c>
      <x:c r="N104" t="str">
        <x:v>impulse plugged</x:v>
      </x:c>
      <x:c r="O104" t="str">
        <x:v>PLUG</x:v>
      </x:c>
      <x:c r="P104" t="str">
        <x:v>PROCESS</x:v>
      </x:c>
      <x:c r="Q104" t="str">
        <x:v>N</x:v>
      </x:c>
      <x:c r="R104" t="str">
        <x:v>13.4</x:v>
      </x:c>
      <x:c r="S104" t="str">
        <x:v>3661.24</x:v>
      </x:c>
      <x:c r="T104" t="str">
        <x:v>chk FT-501 - impulse plugged frm ops</x:v>
      </x:c>
      <x:c r="U104" t="str">
        <x:v>C shift called for FT-501 feed flow transmitter, c2 recov down seen during feed flow step. Foud impulse plugged; tap/line dirty. calibrated, loop chekd with CCR. need watch next feed swing. notif made by ops, maint attended same shift.</x:v>
      </x:c>
    </x:row>
    <x:row r="105" ht="15" hidden="0" customHeight="1">
      <x:c r="A105" t="str">
        <x:v>10450104</x:v>
      </x:c>
      <x:c r="B105" t="str">
        <x:v>40870104</x:v>
      </x:c>
      <x:c r="C105" t="str">
        <x:v>2021-10-29</x:v>
      </x:c>
      <x:c r="D105" t="str">
        <x:v>2021-10-30</x:v>
      </x:c>
      <x:c r="E105" t="str">
        <x:v>2021-10-31</x:v>
      </x:c>
      <x:c r="F105" t="str">
        <x:v>U400-DEETHANIZER-500</x:v>
      </x:c>
      <x:c r="G105" t="str">
        <x:v>E-501</x:v>
      </x:c>
      <x:c r="H105" t="str">
        <x:v>deethanizer reboiler</x:v>
      </x:c>
      <x:c r="I105" t="str">
        <x:v>reboiler</x:v>
      </x:c>
      <x:c r="J105" t="str">
        <x:v>P3</x:v>
      </x:c>
      <x:c r="K105" t="str">
        <x:v>COMP</x:v>
      </x:c>
      <x:c r="L105" t="str">
        <x:v>VALVE</x:v>
      </x:c>
      <x:c r="M105" t="str">
        <x:v>reboiler_duty_loss</x:v>
      </x:c>
      <x:c r="N105" t="str">
        <x:v>low duty</x:v>
      </x:c>
      <x:c r="O105" t="str">
        <x:v>DUTY_LOSS</x:v>
      </x:c>
      <x:c r="P105" t="str">
        <x:v>UTILITY</x:v>
      </x:c>
      <x:c r="Q105" t="str">
        <x:v>N</x:v>
      </x:c>
      <x:c r="R105" t="str">
        <x:v>8.6</x:v>
      </x:c>
      <x:c r="S105" t="str">
        <x:v>14704.49</x:v>
      </x:c>
      <x:c r="T105" t="str">
        <x:v>E-501 low duty noisy</x:v>
      </x:c>
      <x:c r="U105" t="str">
        <x:v>days called for E-501 deethanizer reboiler, steam/hm valve no resp seen during reboiler duty loss. Foud low duty; hm valve/strainer issue. No spare in store at first, used refurb one from shop. calibrated, loop checked with CCR. temp repair only, plan shutdown job. notif made by ops, maint attended same shift.</x:v>
      </x:c>
    </x:row>
    <x:row r="106" ht="15" hidden="0" customHeight="1">
      <x:c r="A106" t="str">
        <x:v>10450105</x:v>
      </x:c>
      <x:c r="B106" t="str">
        <x:v>40870105</x:v>
      </x:c>
      <x:c r="C106" t="str">
        <x:v>2021-11-01</x:v>
      </x:c>
      <x:c r="D106" t="str">
        <x:v>2021-11-01</x:v>
      </x:c>
      <x:c r="E106" t="str">
        <x:v>2021-11-02</x:v>
      </x:c>
      <x:c r="F106" t="str">
        <x:v>U400-DEETHANIZER-500</x:v>
      </x:c>
      <x:c r="G106" t="str">
        <x:v>FV-502</x:v>
      </x:c>
      <x:c r="H106" t="str">
        <x:v>reflux flow control valve</x:v>
      </x:c>
      <x:c r="I106" t="str">
        <x:v>control_valve</x:v>
      </x:c>
      <x:c r="J106" t="str">
        <x:v>P3</x:v>
      </x:c>
      <x:c r="K106" t="str">
        <x:v>COMP</x:v>
      </x:c>
      <x:c r="L106" t="str">
        <x:v>OPS+INST</x:v>
      </x:c>
      <x:c r="M106" t="str">
        <x:v>valve_stiction</x:v>
      </x:c>
      <x:c r="N106" t="str">
        <x:v>stiction</x:v>
      </x:c>
      <x:c r="O106" t="str">
        <x:v>STICK</x:v>
      </x:c>
      <x:c r="P106" t="str">
        <x:v>PACKING</x:v>
      </x:c>
      <x:c r="Q106" t="str">
        <x:v>N</x:v>
      </x:c>
      <x:c r="R106" t="str">
        <x:v>6.9</x:v>
      </x:c>
      <x:c r="S106" t="str">
        <x:v>146.39</x:v>
      </x:c>
      <x:c r="T106" t="str">
        <x:v>FV-502 not ok after valve stiction</x:v>
      </x:c>
      <x:c r="U106" t="str">
        <x:v>B shift called for FV-502 reflux flow ctrl valve, position bad seen during valve stiction. Foud stiction; stem sticky and pos err. stroke tested, response better. no leak at handover. notif made by ops, maint attended same shift.</x:v>
      </x:c>
    </x:row>
    <x:row r="107" ht="15" hidden="0" customHeight="1">
      <x:c r="A107" t="str">
        <x:v>10450106</x:v>
      </x:c>
      <x:c r="B107" t="str">
        <x:v>40870106</x:v>
      </x:c>
      <x:c r="C107" t="str">
        <x:v>2021-11-04</x:v>
      </x:c>
      <x:c r="D107" t="str">
        <x:v>2021-11-04</x:v>
      </x:c>
      <x:c r="E107" t="str">
        <x:v>2021-11-07</x:v>
      </x:c>
      <x:c r="F107" t="str">
        <x:v>U400-DEETHANIZER-500</x:v>
      </x:c>
      <x:c r="G107" t="str">
        <x:v>E-502</x:v>
      </x:c>
      <x:c r="H107" t="str">
        <x:v>deethanizer overhead condenser</x:v>
      </x:c>
      <x:c r="I107" t="str">
        <x:v>condenser</x:v>
      </x:c>
      <x:c r="J107" t="str">
        <x:v>P1</x:v>
      </x:c>
      <x:c r="K107" t="str">
        <x:v>CLSD</x:v>
      </x:c>
      <x:c r="L107" t="str">
        <x:v>ANLYZR</x:v>
      </x:c>
      <x:c r="M107" t="str">
        <x:v>pressure_control_fault</x:v>
      </x:c>
      <x:c r="N107" t="str">
        <x:v>high press</x:v>
      </x:c>
      <x:c r="O107" t="str">
        <x:v>PERF</x:v>
      </x:c>
      <x:c r="P107" t="str">
        <x:v>FOUL</x:v>
      </x:c>
      <x:c r="Q107" t="str">
        <x:v>Y</x:v>
      </x:c>
      <x:c r="R107" t="str">
        <x:v>14.0</x:v>
      </x:c>
      <x:c r="S107" t="str">
        <x:v>12029.16</x:v>
      </x:c>
      <x:c r="T107" t="str">
        <x:v>chk E-502 - high press frm ops</x:v>
      </x:c>
      <x:c r="U107" t="str">
        <x:v>C shift called for E-502 deethanizer overhead condenser, press spike seen during pressure control fault. Foud high press; condensing duty poor. reset trip and monitored for 2 hrs. need watch next feed swing. notif made by ops, maint attended same shift.</x:v>
      </x:c>
    </x:row>
    <x:row r="108" ht="15" hidden="0" customHeight="1">
      <x:c r="A108" t="str">
        <x:v>10450107</x:v>
      </x:c>
      <x:c r="B108" t="str">
        <x:v>40870107</x:v>
      </x:c>
      <x:c r="C108" t="str">
        <x:v>2021-11-03</x:v>
      </x:c>
      <x:c r="D108" t="str">
        <x:v>2021-11-04</x:v>
      </x:c>
      <x:c r="E108" t="str">
        <x:v>2021-11-05</x:v>
      </x:c>
      <x:c r="F108" t="str">
        <x:v>U400-DEETHANIZER-500</x:v>
      </x:c>
      <x:c r="G108" t="str">
        <x:v>E-503</x:v>
      </x:c>
      <x:c r="H108" t="str">
        <x:v>feed bottoms exchanger</x:v>
      </x:c>
      <x:c r="I108" t="str">
        <x:v>exchanger</x:v>
      </x:c>
      <x:c r="J108" t="str">
        <x:v>P3</x:v>
      </x:c>
      <x:c r="K108" t="str">
        <x:v>CLSD</x:v>
      </x:c>
      <x:c r="L108" t="str">
        <x:v>VALVE</x:v>
      </x:c>
      <x:c r="M108" t="str">
        <x:v>feed_temperature_ramp</x:v>
      </x:c>
      <x:c r="N108" t="str">
        <x:v>plugged pass</x:v>
      </x:c>
      <x:c r="O108" t="str">
        <x:v>PLUG</x:v>
      </x:c>
      <x:c r="P108" t="str">
        <x:v>FOUL</x:v>
      </x:c>
      <x:c r="Q108" t="str">
        <x:v>N</x:v>
      </x:c>
      <x:c r="R108" t="str">
        <x:v>9.7</x:v>
      </x:c>
      <x:c r="S108" t="str">
        <x:v>7476.61</x:v>
      </x:c>
      <x:c r="T108" t="str">
        <x:v>E-503 not ok after feed temperature ramp</x:v>
      </x:c>
      <x:c r="U108" t="str">
        <x:v>night called for E-503 feed bottoms exchanger, ovhd press moving seen during feed temperature ramp. Foud plugged pass; flow restricted. cleaned and put back online. need watch next feed swing. notif made by ops, maint attended same shift.</x:v>
      </x:c>
    </x:row>
    <x:row r="109" ht="15" hidden="0" customHeight="1">
      <x:c r="A109" t="str">
        <x:v>10450108</x:v>
      </x:c>
      <x:c r="B109" t="str">
        <x:v>40870108</x:v>
      </x:c>
      <x:c r="C109" t="str">
        <x:v>2021-11-06</x:v>
      </x:c>
      <x:c r="D109" t="str">
        <x:v>2021-11-07</x:v>
      </x:c>
      <x:c r="E109" t="str">
        <x:v>2021-11-07</x:v>
      </x:c>
      <x:c r="F109" t="str">
        <x:v>U400-DEETHANIZER-500</x:v>
      </x:c>
      <x:c r="G109" t="str">
        <x:v>LV-501</x:v>
      </x:c>
      <x:c r="H109" t="str">
        <x:v>reflux drum level valve</x:v>
      </x:c>
      <x:c r="I109" t="str">
        <x:v>control_valve</x:v>
      </x:c>
      <x:c r="J109" t="str">
        <x:v>P2</x:v>
      </x:c>
      <x:c r="K109" t="str">
        <x:v>CLSD</x:v>
      </x:c>
      <x:c r="L109" t="str">
        <x:v>OPS+INST</x:v>
      </x:c>
      <x:c r="M109" t="str">
        <x:v>valve_stiction</x:v>
      </x:c>
      <x:c r="N109" t="str">
        <x:v>not stroking</x:v>
      </x:c>
      <x:c r="O109" t="str">
        <x:v>NO_TRAVEL</x:v>
      </x:c>
      <x:c r="P109" t="str">
        <x:v>ACT</x:v>
      </x:c>
      <x:c r="Q109" t="str">
        <x:v>N</x:v>
      </x:c>
      <x:c r="R109" t="str">
        <x:v>10.7</x:v>
      </x:c>
      <x:c r="S109" t="str">
        <x:v>4954.98</x:v>
      </x:c>
      <x:c r="T109" t="str">
        <x:v>chk LV-501 - not stroking frm ops</x:v>
      </x:c>
      <x:c r="U109" t="str">
        <x:v>B shift called for LV-501 reflux drum level valve, loop cycling seen during valve stiction. Foud not stroking; actuator weak. changed gasket and boxed up. unit stable now. notif made by ops, maint attended same shift.</x:v>
      </x:c>
    </x:row>
    <x:row r="110" ht="15" hidden="0" customHeight="1">
      <x:c r="A110" t="str">
        <x:v>10450109</x:v>
      </x:c>
      <x:c r="B110" t="str">
        <x:v>40870109</x:v>
      </x:c>
      <x:c r="C110" t="str">
        <x:v>2021-11-06</x:v>
      </x:c>
      <x:c r="D110" t="str">
        <x:v>2021-11-07</x:v>
      </x:c>
      <x:c r="E110" t="str">
        <x:v>2021-11-07</x:v>
      </x:c>
      <x:c r="F110" t="str">
        <x:v>U400-DEETHANIZER-500</x:v>
      </x:c>
      <x:c r="G110" t="str">
        <x:v>V-501</x:v>
      </x:c>
      <x:c r="H110" t="str">
        <x:v>deethanizer reflux drum</x:v>
      </x:c>
      <x:c r="I110" t="str">
        <x:v>vessel</x:v>
      </x:c>
      <x:c r="J110" t="str">
        <x:v>P4</x:v>
      </x:c>
      <x:c r="K110" t="str">
        <x:v>CLSD</x:v>
      </x:c>
      <x:c r="L110" t="str">
        <x:v>OPS+INST</x:v>
      </x:c>
      <x:c r="M110" t="str">
        <x:v>pressure_control_fault</x:v>
      </x:c>
      <x:c r="N110" t="str">
        <x:v>level swing</x:v>
      </x:c>
      <x:c r="O110" t="str">
        <x:v>LVL_SWING</x:v>
      </x:c>
      <x:c r="P110" t="str">
        <x:v>CTRL</x:v>
      </x:c>
      <x:c r="Q110" t="str">
        <x:v>N</x:v>
      </x:c>
      <x:c r="R110" t="str">
        <x:v>8.0</x:v>
      </x:c>
      <x:c r="S110" t="str">
        <x:v>2230.68</x:v>
      </x:c>
      <x:c r="T110" t="str">
        <x:v>V-501 level swing temp fix</x:v>
      </x:c>
      <x:c r="U110" t="str">
        <x:v>B shift called for V-501 deethanizer reflux drum, pv not movng seen during pressure ctrl fault. Foud level swing; lt/lic problem. stroke tested, response better. still little hunting but acceptable. notif made by ops, maint attended same shift.</x:v>
      </x:c>
    </x:row>
    <x:row r="111" ht="15" hidden="0" customHeight="1">
      <x:c r="A111" t="str">
        <x:v>10450110</x:v>
      </x:c>
      <x:c r="B111" t="str">
        <x:v>40870110</x:v>
      </x:c>
      <x:c r="C111" t="str">
        <x:v>2021-11-10</x:v>
      </x:c>
      <x:c r="D111" t="str">
        <x:v>2021-11-12</x:v>
      </x:c>
      <x:c r="E111" t="str">
        <x:v>2021-11-19</x:v>
      </x:c>
      <x:c r="F111" t="str">
        <x:v>U400-DEETHANIZER-500</x:v>
      </x:c>
      <x:c r="G111" t="str">
        <x:v>LV-501</x:v>
      </x:c>
      <x:c r="H111" t="str">
        <x:v>reflux drum level valve</x:v>
      </x:c>
      <x:c r="I111" t="str">
        <x:v>control_valve</x:v>
      </x:c>
      <x:c r="J111" t="str">
        <x:v>P3</x:v>
      </x:c>
      <x:c r="K111" t="str">
        <x:v>CLSD</x:v>
      </x:c>
      <x:c r="L111" t="str">
        <x:v>OPS+INST</x:v>
      </x:c>
      <x:c r="M111" t="str">
        <x:v>valve_stiction</x:v>
      </x:c>
      <x:c r="N111" t="str">
        <x:v>passing</x:v>
      </x:c>
      <x:c r="O111" t="str">
        <x:v>LEAK_BY</x:v>
      </x:c>
      <x:c r="P111" t="str">
        <x:v>SEAT</x:v>
      </x:c>
      <x:c r="Q111" t="str">
        <x:v>N</x:v>
      </x:c>
      <x:c r="R111" t="str">
        <x:v>4.9</x:v>
      </x:c>
      <x:c r="S111" t="str">
        <x:v>6365.69</x:v>
      </x:c>
      <x:c r="T111" t="str">
        <x:v>LV-501 not ok after valve stiction</x:v>
      </x:c>
      <x:c r="U111" t="str">
        <x:v>C shift called for LV-501 reflux drum level valve, air leak seen during valve stiction. Foud passing; seat leak by. History shows same complain last mnth. cleaned and put back online. unit stable now. notif made by ops, maint attended same shift.</x:v>
      </x:c>
    </x:row>
    <x:row r="112" ht="15" hidden="0" customHeight="1">
      <x:c r="A112" t="str">
        <x:v>10450111</x:v>
      </x:c>
      <x:c r="B112" t="str">
        <x:v>40870111</x:v>
      </x:c>
      <x:c r="C112" t="str">
        <x:v>2021-11-09</x:v>
      </x:c>
      <x:c r="D112" t="str">
        <x:v>2021-11-10</x:v>
      </x:c>
      <x:c r="E112" t="str">
        <x:v>2021-11-11</x:v>
      </x:c>
      <x:c r="F112" t="str">
        <x:v>U400-DEETHANIZER-500</x:v>
      </x:c>
      <x:c r="G112" t="str">
        <x:v>E-502</x:v>
      </x:c>
      <x:c r="H112" t="str">
        <x:v>deethanizer overhead condenser</x:v>
      </x:c>
      <x:c r="I112" t="str">
        <x:v>condenser</x:v>
      </x:c>
      <x:c r="J112" t="str">
        <x:v>P2</x:v>
      </x:c>
      <x:c r="K112" t="str">
        <x:v>COMP</x:v>
      </x:c>
      <x:c r="L112" t="str">
        <x:v>E&amp;I</x:v>
      </x:c>
      <x:c r="M112" t="str">
        <x:v>reflux_pump_degradation</x:v>
      </x:c>
      <x:c r="N112" t="str">
        <x:v>tube leak sus</x:v>
      </x:c>
      <x:c r="O112" t="str">
        <x:v>LEAK</x:v>
      </x:c>
      <x:c r="P112" t="str">
        <x:v>TUBE</x:v>
      </x:c>
      <x:c r="Q112" t="str">
        <x:v>N</x:v>
      </x:c>
      <x:c r="R112" t="str">
        <x:v>5.5</x:v>
      </x:c>
      <x:c r="S112" t="str">
        <x:v>12747.58</x:v>
      </x:c>
      <x:c r="T112" t="str">
        <x:v>E-502 tube leak sus again, prod upset</x:v>
      </x:c>
      <x:c r="U112" t="str">
        <x:v>C shift called for E-502 deethanizer overhead condnsr, disch press low seen during reflux pump degradation. Foud tube leak sus; hydrotest reqd. No spare in store at first, used refurb one from shop. tightened fittings, leak test ok. ops says ok for now. notif made by ops, maint attended same shift.</x:v>
      </x:c>
    </x:row>
    <x:row r="113" ht="15" hidden="0" customHeight="1">
      <x:c r="A113" t="str">
        <x:v>10450112</x:v>
      </x:c>
      <x:c r="B113" t="str">
        <x:v>40870112</x:v>
      </x:c>
      <x:c r="C113" t="str">
        <x:v>2021-11-15</x:v>
      </x:c>
      <x:c r="D113" t="str">
        <x:v>2021-11-15</x:v>
      </x:c>
      <x:c r="E113" t="str">
        <x:v>2021-11-17</x:v>
      </x:c>
      <x:c r="F113" t="str">
        <x:v>U400-DEETHANIZER-500</x:v>
      </x:c>
      <x:c r="G113" t="str">
        <x:v>PV-501</x:v>
      </x:c>
      <x:c r="H113" t="str">
        <x:v>column pressure control valve</x:v>
      </x:c>
      <x:c r="I113" t="str">
        <x:v>control_valve</x:v>
      </x:c>
      <x:c r="J113" t="str">
        <x:v>P2</x:v>
      </x:c>
      <x:c r="K113" t="str">
        <x:v>TECO</x:v>
      </x:c>
      <x:c r="L113" t="str">
        <x:v>E&amp;I</x:v>
      </x:c>
      <x:c r="M113" t="str">
        <x:v>pressure_control_fault</x:v>
      </x:c>
      <x:c r="N113" t="str">
        <x:v>stiction</x:v>
      </x:c>
      <x:c r="O113" t="str">
        <x:v>STICK</x:v>
      </x:c>
      <x:c r="P113" t="str">
        <x:v>PACKING</x:v>
      </x:c>
      <x:c r="Q113" t="str">
        <x:v>N</x:v>
      </x:c>
      <x:c r="R113" t="str">
        <x:v>14.5</x:v>
      </x:c>
      <x:c r="S113" t="str">
        <x:v>1863.39</x:v>
      </x:c>
      <x:c r="T113" t="str">
        <x:v>PV-501 stiction again, prod upset</x:v>
      </x:c>
      <x:c r="U113" t="str">
        <x:v>C shift called for PV-501 column pressure control valve, pshh close call seen during pressure control fault. Foud stiction; stem sticky and pos err. tightened fittings, leak test ok. readng close to dcs after job. notif made by ops, maint attended same shift.</x:v>
      </x:c>
    </x:row>
    <x:row r="114" ht="15" hidden="0" customHeight="1">
      <x:c r="A114" t="str">
        <x:v>10450113</x:v>
      </x:c>
      <x:c r="B114" t="str">
        <x:v>40870113</x:v>
      </x:c>
      <x:c r="C114" t="str">
        <x:v>2021-11-12</x:v>
      </x:c>
      <x:c r="D114" t="str">
        <x:v>2021-11-12</x:v>
      </x:c>
      <x:c r="E114" t="str">
        <x:v>2021-11-13</x:v>
      </x:c>
      <x:c r="F114" t="str">
        <x:v>U400-DEETHANIZER-500</x:v>
      </x:c>
      <x:c r="G114" t="str">
        <x:v>PV-501</x:v>
      </x:c>
      <x:c r="H114" t="str">
        <x:v>column pressure control valve</x:v>
      </x:c>
      <x:c r="I114" t="str">
        <x:v>control_valve</x:v>
      </x:c>
      <x:c r="J114" t="str">
        <x:v>P3</x:v>
      </x:c>
      <x:c r="K114" t="str">
        <x:v>CLSD</x:v>
      </x:c>
      <x:c r="L114" t="str">
        <x:v>E&amp;I</x:v>
      </x:c>
      <x:c r="M114" t="str">
        <x:v>valve_stiction</x:v>
      </x:c>
      <x:c r="N114" t="str">
        <x:v>stiction</x:v>
      </x:c>
      <x:c r="O114" t="str">
        <x:v>STICK</x:v>
      </x:c>
      <x:c r="P114" t="str">
        <x:v>PACKING</x:v>
      </x:c>
      <x:c r="Q114" t="str">
        <x:v>N</x:v>
      </x:c>
      <x:c r="R114" t="str">
        <x:v>15.7</x:v>
      </x:c>
      <x:c r="S114" t="str">
        <x:v>3568.7</x:v>
      </x:c>
      <x:c r="T114" t="str">
        <x:v>chk PV-501 - stiction frm ops</x:v>
      </x:c>
      <x:c r="U114" t="str">
        <x:v>B shift called for PV-501 column pressure control valve, air leak seen during valve stiction. Foud stiction; stem sticky and pos err. opened strainer, cleaned black sludge. ops says ok for now. notif made by ops, maint attended same shift.</x:v>
      </x:c>
    </x:row>
    <x:row r="115" ht="15" hidden="0" customHeight="1">
      <x:c r="A115" t="str">
        <x:v>10450114</x:v>
      </x:c>
      <x:c r="B115" t="str">
        <x:v>40870114</x:v>
      </x:c>
      <x:c r="C115" t="str">
        <x:v>2021-11-15</x:v>
      </x:c>
      <x:c r="D115" t="str">
        <x:v>2021-11-15</x:v>
      </x:c>
      <x:c r="E115" t="str">
        <x:v>2021-11-15</x:v>
      </x:c>
      <x:c r="F115" t="str">
        <x:v>U400-DEETHANIZER-500</x:v>
      </x:c>
      <x:c r="G115" t="str">
        <x:v>FV-502</x:v>
      </x:c>
      <x:c r="H115" t="str">
        <x:v>reflux flow control valve</x:v>
      </x:c>
      <x:c r="I115" t="str">
        <x:v>control_valve</x:v>
      </x:c>
      <x:c r="J115" t="str">
        <x:v>P3</x:v>
      </x:c>
      <x:c r="K115" t="str">
        <x:v>CLSD</x:v>
      </x:c>
      <x:c r="L115" t="str">
        <x:v>MECH</x:v>
      </x:c>
      <x:c r="M115" t="str">
        <x:v>valve_stiction</x:v>
      </x:c>
      <x:c r="N115" t="str">
        <x:v>stiction</x:v>
      </x:c>
      <x:c r="O115" t="str">
        <x:v>STICK</x:v>
      </x:c>
      <x:c r="P115" t="str">
        <x:v>PACKING</x:v>
      </x:c>
      <x:c r="Q115" t="str">
        <x:v>N</x:v>
      </x:c>
      <x:c r="R115" t="str">
        <x:v>11.1</x:v>
      </x:c>
      <x:c r="S115" t="str">
        <x:v>4986.92</x:v>
      </x:c>
      <x:c r="T115" t="str">
        <x:v>FV-502 not ok after valve stiction</x:v>
      </x:c>
      <x:c r="U115" t="str">
        <x:v>C shift called for FV-502 reflux flow ctrl vavle, position bad seen during vavle stiction. Foud stiction; stem sticky and pos err. swapped to standby and repaired. readng close to dcs after job. notif made by ops, maint attended same shift.</x:v>
      </x:c>
    </x:row>
    <x:row r="116" ht="15" hidden="0" customHeight="1">
      <x:c r="A116" t="str">
        <x:v>10450115</x:v>
      </x:c>
      <x:c r="B116" t="str">
        <x:v>40870115</x:v>
      </x:c>
      <x:c r="C116" t="str">
        <x:v>2021-11-17</x:v>
      </x:c>
      <x:c r="D116" t="str">
        <x:v>2021-11-18</x:v>
      </x:c>
      <x:c r="E116" t="str">
        <x:v>2021-11-19</x:v>
      </x:c>
      <x:c r="F116" t="str">
        <x:v>U400-DEETHANIZER-500</x:v>
      </x:c>
      <x:c r="G116" t="str">
        <x:v>T-501</x:v>
      </x:c>
      <x:c r="H116" t="str">
        <x:v>deethanizer column</x:v>
      </x:c>
      <x:c r="I116" t="str">
        <x:v>column</x:v>
      </x:c>
      <x:c r="J116" t="str">
        <x:v>P3</x:v>
      </x:c>
      <x:c r="K116" t="str">
        <x:v>TECO</x:v>
      </x:c>
      <x:c r="L116" t="str">
        <x:v>VALVE</x:v>
      </x:c>
      <x:c r="M116" t="str">
        <x:v>feed_composition_shift</x:v>
      </x:c>
      <x:c r="N116" t="str">
        <x:v>dp high</x:v>
      </x:c>
      <x:c r="O116" t="str">
        <x:v>DP_HIGH</x:v>
      </x:c>
      <x:c r="P116" t="str">
        <x:v>FOAM</x:v>
      </x:c>
      <x:c r="Q116" t="str">
        <x:v>N</x:v>
      </x:c>
      <x:c r="R116" t="str">
        <x:v>4.7</x:v>
      </x:c>
      <x:c r="S116" t="str">
        <x:v>4940.34</x:v>
      </x:c>
      <x:c r="T116" t="str">
        <x:v>chk T-501 - dp high frm ops</x:v>
      </x:c>
      <x:c r="U116" t="str">
        <x:v>A shift called for T-501 deethanizer column, c3 in feed hi seen during feed composition shift. Foud dp high; trays loading or foaming. History shows same complain last mnth. replaced positioner tubing and retuned small. ops says ok for now. notif made by ops, maint attended same shift.</x:v>
      </x:c>
    </x:row>
    <x:row r="117" ht="15" hidden="0" customHeight="1">
      <x:c r="A117" t="str">
        <x:v>10450116</x:v>
      </x:c>
      <x:c r="B117" t="str">
        <x:v>40870116</x:v>
      </x:c>
      <x:c r="C117" t="str">
        <x:v>2021-11-18</x:v>
      </x:c>
      <x:c r="D117" t="str">
        <x:v>2021-11-19</x:v>
      </x:c>
      <x:c r="E117" t="str">
        <x:v>2021-11-21</x:v>
      </x:c>
      <x:c r="F117" t="str">
        <x:v>U400-DEETHANIZER-500</x:v>
      </x:c>
      <x:c r="G117" t="str">
        <x:v>TV-502</x:v>
      </x:c>
      <x:c r="H117" t="str">
        <x:v>condenser cooling valve</x:v>
      </x:c>
      <x:c r="I117" t="str">
        <x:v>control_valve</x:v>
      </x:c>
      <x:c r="J117" t="str">
        <x:v>P2</x:v>
      </x:c>
      <x:c r="K117" t="str">
        <x:v>TECO</x:v>
      </x:c>
      <x:c r="L117" t="str">
        <x:v>E&amp;I</x:v>
      </x:c>
      <x:c r="M117" t="str">
        <x:v>valve_stiction</x:v>
      </x:c>
      <x:c r="N117" t="str">
        <x:v>air leak</x:v>
      </x:c>
      <x:c r="O117" t="str">
        <x:v>AIR_LEAK</x:v>
      </x:c>
      <x:c r="P117" t="str">
        <x:v>TUBING</x:v>
      </x:c>
      <x:c r="Q117" t="str">
        <x:v>Y</x:v>
      </x:c>
      <x:c r="R117" t="str">
        <x:v>19.5</x:v>
      </x:c>
      <x:c r="S117" t="str">
        <x:v>5174.36</x:v>
      </x:c>
      <x:c r="T117" t="str">
        <x:v>TV-502 not ok after valve stiction</x:v>
      </x:c>
      <x:c r="U117" t="str">
        <x:v>B shift called for TV-502 condenser cooling valve, op jumps seen during valve stiction. Foud air leak; positioner supply drop. Could not get permit first time waiting area gas test. cleaned and put back online. no leak at handover. notif made by ops, maint attended same shift.</x:v>
      </x:c>
    </x:row>
    <x:row r="118" ht="15" hidden="0" customHeight="1">
      <x:c r="A118" t="str">
        <x:v>10450117</x:v>
      </x:c>
      <x:c r="B118" t="str">
        <x:v>40870117</x:v>
      </x:c>
      <x:c r="C118" t="str">
        <x:v>2021-11-19</x:v>
      </x:c>
      <x:c r="D118" t="str">
        <x:v>2021-11-20</x:v>
      </x:c>
      <x:c r="E118" t="str">
        <x:v>2021-11-20</x:v>
      </x:c>
      <x:c r="F118" t="str">
        <x:v>U400-DEETHANIZER-500</x:v>
      </x:c>
      <x:c r="G118" t="str">
        <x:v>E-503</x:v>
      </x:c>
      <x:c r="H118" t="str">
        <x:v>feed bottoms exchanger</x:v>
      </x:c>
      <x:c r="I118" t="str">
        <x:v>exchanger</x:v>
      </x:c>
      <x:c r="J118" t="str">
        <x:v>P3</x:v>
      </x:c>
      <x:c r="K118" t="str">
        <x:v>COMP</x:v>
      </x:c>
      <x:c r="L118" t="str">
        <x:v>ROT</x:v>
      </x:c>
      <x:c r="M118" t="str">
        <x:v>feed_temperature_ramp</x:v>
      </x:c>
      <x:c r="N118" t="str">
        <x:v>plugged pass</x:v>
      </x:c>
      <x:c r="O118" t="str">
        <x:v>PLUG</x:v>
      </x:c>
      <x:c r="P118" t="str">
        <x:v>FOUL</x:v>
      </x:c>
      <x:c r="Q118" t="str">
        <x:v>N</x:v>
      </x:c>
      <x:c r="R118" t="str">
        <x:v>4.9</x:v>
      </x:c>
      <x:c r="S118" t="str">
        <x:v>5512.96</x:v>
      </x:c>
      <x:c r="T118" t="str">
        <x:v>chk E-503 - plugged pass frm ops</x:v>
      </x:c>
      <x:c r="U118" t="str">
        <x:v>days called for E-503 feed bottoms exchanger, ovhd press moving seen during feed temperature ramp. Foud plugged pass; flow restricted. replaced positioner tubing and retuned small. temp repair only, plan shutdown job. notif made by ops, maint attended same shift.</x:v>
      </x:c>
    </x:row>
    <x:row r="119" ht="15" hidden="0" customHeight="1">
      <x:c r="A119" t="str">
        <x:v>10450118</x:v>
      </x:c>
      <x:c r="B119" t="str">
        <x:v>40870118</x:v>
      </x:c>
      <x:c r="C119" t="str">
        <x:v>2021-11-21</x:v>
      </x:c>
      <x:c r="D119" t="str">
        <x:v>2021-11-21</x:v>
      </x:c>
      <x:c r="E119" t="str">
        <x:v>2021-11-23</x:v>
      </x:c>
      <x:c r="F119" t="str">
        <x:v>U400-DEETHANIZER-500</x:v>
      </x:c>
      <x:c r="G119" t="str">
        <x:v>P-502A</x:v>
      </x:c>
      <x:c r="H119" t="str">
        <x:v>bottoms pump A</x:v>
      </x:c>
      <x:c r="I119" t="str">
        <x:v>pump</x:v>
      </x:c>
      <x:c r="J119" t="str">
        <x:v>P4</x:v>
      </x:c>
      <x:c r="K119" t="str">
        <x:v>TECO</x:v>
      </x:c>
      <x:c r="L119" t="str">
        <x:v>OPS+MECH</x:v>
      </x:c>
      <x:c r="M119" t="str">
        <x:v>feed_flow_step</x:v>
      </x:c>
      <x:c r="N119" t="str">
        <x:v>low disch press</x:v>
      </x:c>
      <x:c r="O119" t="str">
        <x:v>HYD_LOSS</x:v>
      </x:c>
      <x:c r="P119" t="str">
        <x:v>FOUL</x:v>
      </x:c>
      <x:c r="Q119" t="str">
        <x:v>N</x:v>
      </x:c>
      <x:c r="R119" t="str">
        <x:v>13.2</x:v>
      </x:c>
      <x:c r="S119" t="str">
        <x:v>7658.29</x:v>
      </x:c>
      <x:c r="T119" t="str">
        <x:v>P-502A low disch press again, prod upset</x:v>
      </x:c>
      <x:c r="U119" t="str">
        <x:v>C shift called for P-502A bottoms pump A, feed jump seen during feed flow step. Foud low disch press; strainer dirty or impeller wear. Line was hot so job done slow and with ops standing by. changed gasket and boxed up. readng close to dcs after job. notif made by ops, maint attended same shift.</x:v>
      </x:c>
    </x:row>
    <x:row r="120" ht="15" hidden="0" customHeight="1">
      <x:c r="A120" t="str">
        <x:v>10450119</x:v>
      </x:c>
      <x:c r="B120" t="str">
        <x:v>40870119</x:v>
      </x:c>
      <x:c r="C120" t="str">
        <x:v>2021-11-23</x:v>
      </x:c>
      <x:c r="D120" t="str">
        <x:v>2021-11-25</x:v>
      </x:c>
      <x:c r="E120" t="str">
        <x:v>2021-11-25</x:v>
      </x:c>
      <x:c r="F120" t="str">
        <x:v>U400-DEETHANIZER-500</x:v>
      </x:c>
      <x:c r="G120" t="str">
        <x:v>PV-501</x:v>
      </x:c>
      <x:c r="H120" t="str">
        <x:v>column pressure control valve</x:v>
      </x:c>
      <x:c r="I120" t="str">
        <x:v>control_valve</x:v>
      </x:c>
      <x:c r="J120" t="str">
        <x:v>P1</x:v>
      </x:c>
      <x:c r="K120" t="str">
        <x:v>CLSD</x:v>
      </x:c>
      <x:c r="L120" t="str">
        <x:v>INST</x:v>
      </x:c>
      <x:c r="M120" t="str">
        <x:v>condenser_fouling</x:v>
      </x:c>
      <x:c r="N120" t="str">
        <x:v>not stroking</x:v>
      </x:c>
      <x:c r="O120" t="str">
        <x:v>NO_TRAVEL</x:v>
      </x:c>
      <x:c r="P120" t="str">
        <x:v>ACT</x:v>
      </x:c>
      <x:c r="Q120" t="str">
        <x:v>Y</x:v>
      </x:c>
      <x:c r="R120" t="str">
        <x:v>11.7</x:v>
      </x:c>
      <x:c r="S120" t="str">
        <x:v>5228.67</x:v>
      </x:c>
      <x:c r="T120" t="str">
        <x:v>PV-501 not ok after condenser fouling</x:v>
      </x:c>
      <x:c r="U120" t="str">
        <x:v>days called for PV-501 column pressure control vavle, cond not pullng seen during condenser fouling. Foud not stroking; actuator weak. No spare in store at first, used refurb one from shop. reset trip and monitored for 2 hrs. unit stable now. notif made by ops, maint attended same shift.</x:v>
      </x:c>
    </x:row>
    <x:row r="121" ht="15" hidden="0" customHeight="1">
      <x:c r="A121" t="str">
        <x:v>10450120</x:v>
      </x:c>
      <x:c r="B121" t="str">
        <x:v>40870120</x:v>
      </x:c>
      <x:c r="C121" t="str">
        <x:v>2021-11-24</x:v>
      </x:c>
      <x:c r="D121" t="str">
        <x:v>2021-11-24</x:v>
      </x:c>
      <x:c r="E121" t="str">
        <x:v>2021-11-24</x:v>
      </x:c>
      <x:c r="F121" t="str">
        <x:v>U400-DEETHANIZER-500</x:v>
      </x:c>
      <x:c r="G121" t="str">
        <x:v>P-502B</x:v>
      </x:c>
      <x:c r="H121" t="str">
        <x:v>bottoms pump B</x:v>
      </x:c>
      <x:c r="I121" t="str">
        <x:v>pump</x:v>
      </x:c>
      <x:c r="J121" t="str">
        <x:v>P4</x:v>
      </x:c>
      <x:c r="K121" t="str">
        <x:v>TECO</x:v>
      </x:c>
      <x:c r="L121" t="str">
        <x:v>MECH</x:v>
      </x:c>
      <x:c r="M121" t="str">
        <x:v>normal_wear</x:v>
      </x:c>
      <x:c r="N121" t="str">
        <x:v>bearing hot</x:v>
      </x:c>
      <x:c r="O121" t="str">
        <x:v>BRG</x:v>
      </x:c>
      <x:c r="P121" t="str">
        <x:v>WEAR</x:v>
      </x:c>
      <x:c r="Q121" t="str">
        <x:v>N</x:v>
      </x:c>
      <x:c r="R121" t="str">
        <x:v>4.7</x:v>
      </x:c>
      <x:c r="S121" t="str">
        <x:v>10878.64</x:v>
      </x:c>
      <x:c r="T121" t="str">
        <x:v>P-502B bearing hot after upset</x:v>
      </x:c>
      <x:c r="U121" t="str">
        <x:v>night called for P-502B bottoms pump B, loose term seen during normal wear. Foud bearing hot; brg rough, lube dark. swapped to standby and repaired. readng close to dcs after job. notif made by ops, maint attended same shift.</x:v>
      </x:c>
    </x:row>
    <x:row r="122" ht="15" hidden="0" customHeight="1">
      <x:c r="A122" t="str">
        <x:v>10450121</x:v>
      </x:c>
      <x:c r="B122" t="str">
        <x:v>40870121</x:v>
      </x:c>
      <x:c r="C122" t="str">
        <x:v>2021-11-24</x:v>
      </x:c>
      <x:c r="D122" t="str">
        <x:v>2021-11-24</x:v>
      </x:c>
      <x:c r="E122" t="str">
        <x:v>2021-12-01</x:v>
      </x:c>
      <x:c r="F122" t="str">
        <x:v>U400-DEETHANIZER-500</x:v>
      </x:c>
      <x:c r="G122" t="str">
        <x:v>P-501A</x:v>
      </x:c>
      <x:c r="H122" t="str">
        <x:v>reflux pump A</x:v>
      </x:c>
      <x:c r="I122" t="str">
        <x:v>pump</x:v>
      </x:c>
      <x:c r="J122" t="str">
        <x:v>P3</x:v>
      </x:c>
      <x:c r="K122" t="str">
        <x:v>TECO</x:v>
      </x:c>
      <x:c r="L122" t="str">
        <x:v>OPS+MECH</x:v>
      </x:c>
      <x:c r="M122" t="str">
        <x:v>reflux_pump_degradation</x:v>
      </x:c>
      <x:c r="N122" t="str">
        <x:v>vib high</x:v>
      </x:c>
      <x:c r="O122" t="str">
        <x:v>VIB</x:v>
      </x:c>
      <x:c r="P122" t="str">
        <x:v>ALIGN</x:v>
      </x:c>
      <x:c r="Q122" t="str">
        <x:v>N</x:v>
      </x:c>
      <x:c r="R122" t="str">
        <x:v>8.4</x:v>
      </x:c>
      <x:c r="S122" t="str">
        <x:v>2210.34</x:v>
      </x:c>
      <x:c r="T122" t="str">
        <x:v>P-501A seal weep, vib high</x:v>
      </x:c>
      <x:c r="U122" t="str">
        <x:v>days called for P-501A reflux pump A, low reflux seen during reflux pump degradation. Foud vib high; coupling align or cavitation. changed gasket and boxed up. ops says ok for now. notif made by ops, maint attended same shift.</x:v>
      </x:c>
    </x:row>
    <x:row r="123" ht="15" hidden="0" customHeight="1">
      <x:c r="A123" t="str">
        <x:v>10450122</x:v>
      </x:c>
      <x:c r="B123" t="str">
        <x:v>40870122</x:v>
      </x:c>
      <x:c r="C123" t="str">
        <x:v>2021-11-24</x:v>
      </x:c>
      <x:c r="D123" t="str">
        <x:v>2021-11-26</x:v>
      </x:c>
      <x:c r="E123" t="str">
        <x:v>2021-11-27</x:v>
      </x:c>
      <x:c r="F123" t="str">
        <x:v>U400-DEETHANIZER-500</x:v>
      </x:c>
      <x:c r="G123" t="str">
        <x:v>P-501B</x:v>
      </x:c>
      <x:c r="H123" t="str">
        <x:v>reflux pump B</x:v>
      </x:c>
      <x:c r="I123" t="str">
        <x:v>pump</x:v>
      </x:c>
      <x:c r="J123" t="str">
        <x:v>P4</x:v>
      </x:c>
      <x:c r="K123" t="str">
        <x:v>COMP</x:v>
      </x:c>
      <x:c r="L123" t="str">
        <x:v>ANLYZR</x:v>
      </x:c>
      <x:c r="M123" t="str">
        <x:v>feed_flow_step</x:v>
      </x:c>
      <x:c r="N123" t="str">
        <x:v>vib high</x:v>
      </x:c>
      <x:c r="O123" t="str">
        <x:v>VIB</x:v>
      </x:c>
      <x:c r="P123" t="str">
        <x:v>ALIGN</x:v>
      </x:c>
      <x:c r="Q123" t="str">
        <x:v>N</x:v>
      </x:c>
      <x:c r="R123" t="str">
        <x:v>4.1</x:v>
      </x:c>
      <x:c r="S123" t="str">
        <x:v>5530.88</x:v>
      </x:c>
      <x:c r="T123" t="str">
        <x:v>P-501B column dp high, vib high</x:v>
      </x:c>
      <x:c r="U123" t="str">
        <x:v>C shift called for P-501B reflux pump B, fic hunting seen during feed flow step. Foud vib high; coupling align or cavitation. changed gasket and boxed up. need watch next feed swing. notif made by ops, maint attended same shift.</x:v>
      </x:c>
    </x:row>
    <x:row r="124" ht="15" hidden="0" customHeight="1">
      <x:c r="A124" t="str">
        <x:v>10450123</x:v>
      </x:c>
      <x:c r="B124" t="str">
        <x:v>40870123</x:v>
      </x:c>
      <x:c r="C124" t="str">
        <x:v>2021-11-26</x:v>
      </x:c>
      <x:c r="D124" t="str">
        <x:v>2021-11-26</x:v>
      </x:c>
      <x:c r="E124" t="str">
        <x:v>2021-11-27</x:v>
      </x:c>
      <x:c r="F124" t="str">
        <x:v>U400-DEETHANIZER-500</x:v>
      </x:c>
      <x:c r="G124" t="str">
        <x:v>P-501B</x:v>
      </x:c>
      <x:c r="H124" t="str">
        <x:v>reflux pump B</x:v>
      </x:c>
      <x:c r="I124" t="str">
        <x:v>pump</x:v>
      </x:c>
      <x:c r="J124" t="str">
        <x:v>P3</x:v>
      </x:c>
      <x:c r="K124" t="str">
        <x:v>CLSD</x:v>
      </x:c>
      <x:c r="L124" t="str">
        <x:v>E&amp;I</x:v>
      </x:c>
      <x:c r="M124" t="str">
        <x:v>reflux_pump_degradation</x:v>
      </x:c>
      <x:c r="N124" t="str">
        <x:v>low disch press</x:v>
      </x:c>
      <x:c r="O124" t="str">
        <x:v>HYD_LOSS</x:v>
      </x:c>
      <x:c r="P124" t="str">
        <x:v>FOUL</x:v>
      </x:c>
      <x:c r="Q124" t="str">
        <x:v>N</x:v>
      </x:c>
      <x:c r="R124" t="str">
        <x:v>2.7</x:v>
      </x:c>
      <x:c r="S124" t="str">
        <x:v>3553.5</x:v>
      </x:c>
      <x:c r="T124" t="str">
        <x:v>chk P-501B - low disch press frm ops</x:v>
      </x:c>
      <x:c r="U124" t="str">
        <x:v>A shift called for P-501B rflx pump B, disch press low seen during rflx pump degradation. Foud low disch press; strainer dirty or impeller wear. flushed impulse/sample line. readng close to dcs after job. notif made by ops, maint attended same shift.</x:v>
      </x:c>
    </x:row>
    <x:row r="125" ht="15" hidden="0" customHeight="1">
      <x:c r="A125" t="str">
        <x:v>10450124</x:v>
      </x:c>
      <x:c r="B125" t="str">
        <x:v>40870124</x:v>
      </x:c>
      <x:c r="C125" t="str">
        <x:v>2021-11-28</x:v>
      </x:c>
      <x:c r="D125" t="str">
        <x:v>2021-11-29</x:v>
      </x:c>
      <x:c r="E125" t="str">
        <x:v>2021-11-30</x:v>
      </x:c>
      <x:c r="F125" t="str">
        <x:v>U400-DEETHANIZER-500</x:v>
      </x:c>
      <x:c r="G125" t="str">
        <x:v>TV-501</x:v>
      </x:c>
      <x:c r="H125" t="str">
        <x:v>reboiler hot medium valve</x:v>
      </x:c>
      <x:c r="I125" t="str">
        <x:v>control_valve</x:v>
      </x:c>
      <x:c r="J125" t="str">
        <x:v>P3</x:v>
      </x:c>
      <x:c r="K125" t="str">
        <x:v>CLSD</x:v>
      </x:c>
      <x:c r="L125" t="str">
        <x:v>MECH</x:v>
      </x:c>
      <x:c r="M125" t="str">
        <x:v>reboiler_duty_loss</x:v>
      </x:c>
      <x:c r="N125" t="str">
        <x:v>not stroking</x:v>
      </x:c>
      <x:c r="O125" t="str">
        <x:v>NO_TRAVEL</x:v>
      </x:c>
      <x:c r="P125" t="str">
        <x:v>ACT</x:v>
      </x:c>
      <x:c r="Q125" t="str">
        <x:v>N</x:v>
      </x:c>
      <x:c r="R125" t="str">
        <x:v>9.0</x:v>
      </x:c>
      <x:c r="S125" t="str">
        <x:v>2171.0</x:v>
      </x:c>
      <x:c r="T125" t="str">
        <x:v>TV-501 not stroking again</x:v>
      </x:c>
      <x:c r="U125" t="str">
        <x:v>C shift called for TV-501 rebiler hot medium valve, low heat seen during rebiler duty loss. Foud not stroking; actuator weak. Tag plate dirty, confirmd by line up with panel. reset trip and monitored for 2 hrs. still little hunting but acceptable. notif made by ops, maint attended same shift.</x:v>
      </x:c>
    </x:row>
    <x:row r="126" ht="15" hidden="0" customHeight="1">
      <x:c r="A126" t="str">
        <x:v>10450125</x:v>
      </x:c>
      <x:c r="B126" t="str">
        <x:v>40870125</x:v>
      </x:c>
      <x:c r="C126" t="str">
        <x:v>2021-11-29</x:v>
      </x:c>
      <x:c r="D126" t="str">
        <x:v>2021-11-29</x:v>
      </x:c>
      <x:c r="E126" t="str">
        <x:v>2021-12-06</x:v>
      </x:c>
      <x:c r="F126" t="str">
        <x:v>U400-DEETHANIZER-500</x:v>
      </x:c>
      <x:c r="G126" t="str">
        <x:v>P-502A</x:v>
      </x:c>
      <x:c r="H126" t="str">
        <x:v>bottoms pump A</x:v>
      </x:c>
      <x:c r="I126" t="str">
        <x:v>pump</x:v>
      </x:c>
      <x:c r="J126" t="str">
        <x:v>P3</x:v>
      </x:c>
      <x:c r="K126" t="str">
        <x:v>COMP</x:v>
      </x:c>
      <x:c r="L126" t="str">
        <x:v>OPS+INST</x:v>
      </x:c>
      <x:c r="M126" t="str">
        <x:v>condenser_fouling</x:v>
      </x:c>
      <x:c r="N126" t="str">
        <x:v>bearing hot</x:v>
      </x:c>
      <x:c r="O126" t="str">
        <x:v>BRG</x:v>
      </x:c>
      <x:c r="P126" t="str">
        <x:v>WEAR</x:v>
      </x:c>
      <x:c r="Q126" t="str">
        <x:v>N</x:v>
      </x:c>
      <x:c r="R126" t="str">
        <x:v>14.6</x:v>
      </x:c>
      <x:c r="S126" t="str">
        <x:v>4627.24</x:v>
      </x:c>
      <x:c r="T126" t="str">
        <x:v>chk P-502A - bearing hot frm ops</x:v>
      </x:c>
      <x:c r="U126" t="str">
        <x:v>B shift called for P-502A bottoms pump A, high ovhd press seen during condnsr fouling. Foud bearing hot; brg rough, lube dark. No spare in store at first, used refurb one from shop. cleaned and put back online. no leak at handover. notif made by ops, maint attended same shift.</x:v>
      </x:c>
    </x:row>
    <x:row r="127" ht="15" hidden="0" customHeight="1">
      <x:c r="A127" t="str">
        <x:v>10450126</x:v>
      </x:c>
      <x:c r="B127" t="str">
        <x:v>40870126</x:v>
      </x:c>
      <x:c r="C127" t="str">
        <x:v>2021-11-30</x:v>
      </x:c>
      <x:c r="D127" t="str">
        <x:v>2021-11-30</x:v>
      </x:c>
      <x:c r="E127" t="str">
        <x:v>2021-11-30</x:v>
      </x:c>
      <x:c r="F127" t="str">
        <x:v>U400-DEETHANIZER-500</x:v>
      </x:c>
      <x:c r="G127" t="str">
        <x:v>FV-502</x:v>
      </x:c>
      <x:c r="H127" t="str">
        <x:v>reflux flow control valve</x:v>
      </x:c>
      <x:c r="I127" t="str">
        <x:v>control_valve</x:v>
      </x:c>
      <x:c r="J127" t="str">
        <x:v>P2</x:v>
      </x:c>
      <x:c r="K127" t="str">
        <x:v>TECO</x:v>
      </x:c>
      <x:c r="L127" t="str">
        <x:v>OPS+MECH</x:v>
      </x:c>
      <x:c r="M127" t="str">
        <x:v>condenser_fouling</x:v>
      </x:c>
      <x:c r="N127" t="str">
        <x:v>passing</x:v>
      </x:c>
      <x:c r="O127" t="str">
        <x:v>LEAK_BY</x:v>
      </x:c>
      <x:c r="P127" t="str">
        <x:v>SEAT</x:v>
      </x:c>
      <x:c r="Q127" t="str">
        <x:v>N</x:v>
      </x:c>
      <x:c r="R127" t="str">
        <x:v>16.1</x:v>
      </x:c>
      <x:c r="S127" t="str">
        <x:v>5769.61</x:v>
      </x:c>
      <x:c r="T127" t="str">
        <x:v>FV-502 passing pls chk</x:v>
      </x:c>
      <x:c r="U127" t="str">
        <x:v>B shift called for FV-502 rflx flow control valve, high ovhd press seen during condenser fouling. Foud passing; seat leak by. changed gasket and boxed up. ops says ok for now. notif made by ops, maint attended same shift.</x:v>
      </x:c>
    </x:row>
    <x:row r="128" ht="15" hidden="0" customHeight="1">
      <x:c r="A128" t="str">
        <x:v>10450127</x:v>
      </x:c>
      <x:c r="B128" t="str">
        <x:v>40870127</x:v>
      </x:c>
      <x:c r="C128" t="str">
        <x:v>2021-12-05</x:v>
      </x:c>
      <x:c r="D128" t="str">
        <x:v>2021-12-06</x:v>
      </x:c>
      <x:c r="E128" t="str">
        <x:v>2021-12-20</x:v>
      </x:c>
      <x:c r="F128" t="str">
        <x:v>U400-DEETHANIZER-500</x:v>
      </x:c>
      <x:c r="G128" t="str">
        <x:v>TT-503</x:v>
      </x:c>
      <x:c r="H128" t="str">
        <x:v>reboiler outlet temperature tx</x:v>
      </x:c>
      <x:c r="I128" t="str">
        <x:v>instrument</x:v>
      </x:c>
      <x:c r="J128" t="str">
        <x:v>P3</x:v>
      </x:c>
      <x:c r="K128" t="str">
        <x:v>CLSD</x:v>
      </x:c>
      <x:c r="L128" t="str">
        <x:v>ANLYZR</x:v>
      </x:c>
      <x:c r="M128" t="str">
        <x:v>reboiler_duty_loss</x:v>
      </x:c>
      <x:c r="N128" t="str">
        <x:v>bad reading</x:v>
      </x:c>
      <x:c r="O128" t="str">
        <x:v>DRIFT</x:v>
      </x:c>
      <x:c r="P128" t="str">
        <x:v>CAL</x:v>
      </x:c>
      <x:c r="Q128" t="str">
        <x:v>N</x:v>
      </x:c>
      <x:c r="R128" t="str">
        <x:v>17.2</x:v>
      </x:c>
      <x:c r="S128" t="str">
        <x:v>5232.46</x:v>
      </x:c>
      <x:c r="T128" t="str">
        <x:v>chk TT-503 - bad reading frm ops</x:v>
      </x:c>
      <x:c r="U128" t="str">
        <x:v>days called for TT-503 rebiler outlet temperature tx, rb circ cold seen during rebiler duty loss. Foud bad reading; needs calib. No spare in store at first, used refurb one from shop. changed gasket and boxed up. still little hunting but acceptable. notif made by ops, maint attended same shift.</x:v>
      </x:c>
    </x:row>
    <x:row r="129" ht="15" hidden="0" customHeight="1">
      <x:c r="A129" t="str">
        <x:v>10450128</x:v>
      </x:c>
      <x:c r="B129" t="str">
        <x:v>40870128</x:v>
      </x:c>
      <x:c r="C129" t="str">
        <x:v>2021-12-05</x:v>
      </x:c>
      <x:c r="D129" t="str">
        <x:v>2021-12-05</x:v>
      </x:c>
      <x:c r="E129" t="str">
        <x:v>2021-12-06</x:v>
      </x:c>
      <x:c r="F129" t="str">
        <x:v>U400-DEETHANIZER-500</x:v>
      </x:c>
      <x:c r="G129" t="str">
        <x:v>FV-502</x:v>
      </x:c>
      <x:c r="H129" t="str">
        <x:v>reflux flow control valve</x:v>
      </x:c>
      <x:c r="I129" t="str">
        <x:v>control_valve</x:v>
      </x:c>
      <x:c r="J129" t="str">
        <x:v>P3</x:v>
      </x:c>
      <x:c r="K129" t="str">
        <x:v>CLSD</x:v>
      </x:c>
      <x:c r="L129" t="str">
        <x:v>OPS+INST</x:v>
      </x:c>
      <x:c r="M129" t="str">
        <x:v>valve_stiction</x:v>
      </x:c>
      <x:c r="N129" t="str">
        <x:v>not stroking</x:v>
      </x:c>
      <x:c r="O129" t="str">
        <x:v>NO_TRAVEL</x:v>
      </x:c>
      <x:c r="P129" t="str">
        <x:v>ACT</x:v>
      </x:c>
      <x:c r="Q129" t="str">
        <x:v>N</x:v>
      </x:c>
      <x:c r="R129" t="str">
        <x:v>15.2</x:v>
      </x:c>
      <x:c r="S129" t="str">
        <x:v>5119.82</x:v>
      </x:c>
      <x:c r="T129" t="str">
        <x:v>FV-502 not ok after valve stiction</x:v>
      </x:c>
      <x:c r="U129" t="str">
        <x:v>B shift called for FV-502 reflux flow control valve, op jumps seen during valve stiction. Foud not stroking; actuator weak. swapped to standby and repaired. unit stable now. notif made by ops, maint attended same shift.</x:v>
      </x:c>
    </x:row>
    <x:row r="130" ht="15" hidden="0" customHeight="1">
      <x:c r="A130" t="str">
        <x:v>10450129</x:v>
      </x:c>
      <x:c r="B130" t="str">
        <x:v>40870129</x:v>
      </x:c>
      <x:c r="C130" t="str">
        <x:v>2021-12-07</x:v>
      </x:c>
      <x:c r="D130" t="str">
        <x:v>2021-12-07</x:v>
      </x:c>
      <x:c r="E130" t="str">
        <x:v>2021-12-09</x:v>
      </x:c>
      <x:c r="F130" t="str">
        <x:v>U400-DEETHANIZER-500</x:v>
      </x:c>
      <x:c r="G130" t="str">
        <x:v>FT-501</x:v>
      </x:c>
      <x:c r="H130" t="str">
        <x:v>feed flow transmitter</x:v>
      </x:c>
      <x:c r="I130" t="str">
        <x:v>instrument</x:v>
      </x:c>
      <x:c r="J130" t="str">
        <x:v>P2</x:v>
      </x:c>
      <x:c r="K130" t="str">
        <x:v>CLSD</x:v>
      </x:c>
      <x:c r="L130" t="str">
        <x:v>ANLYZR</x:v>
      </x:c>
      <x:c r="M130" t="str">
        <x:v>feed_flow_step</x:v>
      </x:c>
      <x:c r="N130" t="str">
        <x:v>range err</x:v>
      </x:c>
      <x:c r="O130" t="str">
        <x:v>SPAN</x:v>
      </x:c>
      <x:c r="P130" t="str">
        <x:v>CAL</x:v>
      </x:c>
      <x:c r="Q130" t="str">
        <x:v>N</x:v>
      </x:c>
      <x:c r="R130" t="str">
        <x:v>1.7</x:v>
      </x:c>
      <x:c r="S130" t="str">
        <x:v>5909.67</x:v>
      </x:c>
      <x:c r="T130" t="str">
        <x:v>FT-501 c2 recov down, range err</x:v>
      </x:c>
      <x:c r="U130" t="str">
        <x:v>A shift called for FT-501 feed flow transmitter, fic hunting seen during feed flow step. Foud range err; span shifted. History shows same complain last mnth. changed gasket and boxed up. unit stable now. notif made by ops, maint attended same shift.</x:v>
      </x:c>
    </x:row>
    <x:row r="131" ht="15" hidden="0" customHeight="1">
      <x:c r="A131" t="str">
        <x:v>10450130</x:v>
      </x:c>
      <x:c r="B131" t="str">
        <x:v>40870130</x:v>
      </x:c>
      <x:c r="C131" t="str">
        <x:v>2021-12-07</x:v>
      </x:c>
      <x:c r="D131" t="str">
        <x:v>2021-12-08</x:v>
      </x:c>
      <x:c r="E131" t="str">
        <x:v>2021-12-09</x:v>
      </x:c>
      <x:c r="F131" t="str">
        <x:v>U400-DEETHANIZER-500</x:v>
      </x:c>
      <x:c r="G131" t="str">
        <x:v>E-503</x:v>
      </x:c>
      <x:c r="H131" t="str">
        <x:v>feed bottoms exchanger</x:v>
      </x:c>
      <x:c r="I131" t="str">
        <x:v>exchanger</x:v>
      </x:c>
      <x:c r="J131" t="str">
        <x:v>P4</x:v>
      </x:c>
      <x:c r="K131" t="str">
        <x:v>COMP</x:v>
      </x:c>
      <x:c r="L131" t="str">
        <x:v>E&amp;I</x:v>
      </x:c>
      <x:c r="M131" t="str">
        <x:v>feed_flow_step</x:v>
      </x:c>
      <x:c r="N131" t="str">
        <x:v>tube fouling</x:v>
      </x:c>
      <x:c r="O131" t="str">
        <x:v>FOULING</x:v>
      </x:c>
      <x:c r="P131" t="str">
        <x:v>PROCESS</x:v>
      </x:c>
      <x:c r="Q131" t="str">
        <x:v>N</x:v>
      </x:c>
      <x:c r="R131" t="str">
        <x:v>17.1</x:v>
      </x:c>
      <x:c r="S131" t="str">
        <x:v>12297.56</x:v>
      </x:c>
      <x:c r="T131" t="str">
        <x:v>E-503 tube fouling again, prod upset</x:v>
      </x:c>
      <x:c r="U131" t="str">
        <x:v>C shift called for E-503 feed bottoms exchanger, c2 recov down seen during feed flow step. Foud tube fouling; duty low, delta t poor. replaced positioner tubing and retuned small. need watch next feed swing. notif made by ops, maint attended same shift.</x:v>
      </x:c>
    </x:row>
    <x:row r="132" ht="15" hidden="0" customHeight="1">
      <x:c r="A132" t="str">
        <x:v>10450131</x:v>
      </x:c>
      <x:c r="B132" t="str">
        <x:v>40870131</x:v>
      </x:c>
      <x:c r="C132" t="str">
        <x:v>2021-12-12</x:v>
      </x:c>
      <x:c r="D132" t="str">
        <x:v>2021-12-14</x:v>
      </x:c>
      <x:c r="E132" t="str">
        <x:v>2021-12-16</x:v>
      </x:c>
      <x:c r="F132" t="str">
        <x:v>U400-DEETHANIZER-500</x:v>
      </x:c>
      <x:c r="G132" t="str">
        <x:v>TV-501</x:v>
      </x:c>
      <x:c r="H132" t="str">
        <x:v>reboiler hot medium valve</x:v>
      </x:c>
      <x:c r="I132" t="str">
        <x:v>control_valve</x:v>
      </x:c>
      <x:c r="J132" t="str">
        <x:v>P3</x:v>
      </x:c>
      <x:c r="K132" t="str">
        <x:v>CLSD</x:v>
      </x:c>
      <x:c r="L132" t="str">
        <x:v>OPS+MECH</x:v>
      </x:c>
      <x:c r="M132" t="str">
        <x:v>normal_wear</x:v>
      </x:c>
      <x:c r="N132" t="str">
        <x:v>not stroking</x:v>
      </x:c>
      <x:c r="O132" t="str">
        <x:v>NO_TRAVEL</x:v>
      </x:c>
      <x:c r="P132" t="str">
        <x:v>ACT</x:v>
      </x:c>
      <x:c r="Q132" t="str">
        <x:v>N</x:v>
      </x:c>
      <x:c r="R132" t="str">
        <x:v>15.1</x:v>
      </x:c>
      <x:c r="S132" t="str">
        <x:v>1912.34</x:v>
      </x:c>
      <x:c r="T132" t="str">
        <x:v>TV-501 leak, not stroking</x:v>
      </x:c>
      <x:c r="U132" t="str">
        <x:v>C shift called for TV-501 reboiler hot medium valve, noise seen during normal wear. Foud not stroking; actuator weak. opened strainer, cleaned black sludge. need watch next feed swing. notif made by ops, maint attended same shift.</x:v>
      </x:c>
    </x:row>
    <x:row r="133" ht="15" hidden="0" customHeight="1">
      <x:c r="A133" t="str">
        <x:v>10450132</x:v>
      </x:c>
      <x:c r="B133" t="str">
        <x:v>40870132</x:v>
      </x:c>
      <x:c r="C133" t="str">
        <x:v>2021-12-12</x:v>
      </x:c>
      <x:c r="D133" t="str">
        <x:v>2021-12-12</x:v>
      </x:c>
      <x:c r="E133" t="str">
        <x:v>2021-12-14</x:v>
      </x:c>
      <x:c r="F133" t="str">
        <x:v>U400-DEETHANIZER-500</x:v>
      </x:c>
      <x:c r="G133" t="str">
        <x:v>PSV-501B</x:v>
      </x:c>
      <x:c r="H133" t="str">
        <x:v>column relief valve B</x:v>
      </x:c>
      <x:c r="I133" t="str">
        <x:v>relief</x:v>
      </x:c>
      <x:c r="J133" t="str">
        <x:v>P2</x:v>
      </x:c>
      <x:c r="K133" t="str">
        <x:v>COMP</x:v>
      </x:c>
      <x:c r="L133" t="str">
        <x:v>MECH</x:v>
      </x:c>
      <x:c r="M133" t="str">
        <x:v>pressure_control_fault</x:v>
      </x:c>
      <x:c r="N133" t="str">
        <x:v>car seal broken</x:v>
      </x:c>
      <x:c r="O133" t="str">
        <x:v>CSO</x:v>
      </x:c>
      <x:c r="P133" t="str">
        <x:v>HUMAN</x:v>
      </x:c>
      <x:c r="Q133" t="str">
        <x:v>N</x:v>
      </x:c>
      <x:c r="R133" t="str">
        <x:v>1.1</x:v>
      </x:c>
      <x:c r="S133" t="str">
        <x:v>4660.23</x:v>
      </x:c>
      <x:c r="T133" t="str">
        <x:v>PSV-501B car seal broken again, prod upset</x:v>
      </x:c>
      <x:c r="U133" t="str">
        <x:v>B shift called for PSV-501B column relief valve B, pshh close call seen during pressure ctrl fault. Foud car seal broken; seal missing found. calibrated, loop checked with CCR. unit stable now. notif made by ops, maint attended same shift.</x:v>
      </x:c>
    </x:row>
    <x:row r="134" ht="15" hidden="0" customHeight="1">
      <x:c r="A134" t="str">
        <x:v>10450133</x:v>
      </x:c>
      <x:c r="B134" t="str">
        <x:v>40870133</x:v>
      </x:c>
      <x:c r="C134" t="str">
        <x:v>2021-12-10</x:v>
      </x:c>
      <x:c r="D134" t="str">
        <x:v>2021-12-12</x:v>
      </x:c>
      <x:c r="E134" t="str">
        <x:v>2021-12-26</x:v>
      </x:c>
      <x:c r="F134" t="str">
        <x:v>U400-DEETHANIZER-500</x:v>
      </x:c>
      <x:c r="G134" t="str">
        <x:v>T-501</x:v>
      </x:c>
      <x:c r="H134" t="str">
        <x:v>deethanizer column</x:v>
      </x:c>
      <x:c r="I134" t="str">
        <x:v>column</x:v>
      </x:c>
      <x:c r="J134" t="str">
        <x:v>P3</x:v>
      </x:c>
      <x:c r="K134" t="str">
        <x:v>TECO</x:v>
      </x:c>
      <x:c r="L134" t="str">
        <x:v>ROT</x:v>
      </x:c>
      <x:c r="M134" t="str">
        <x:v>feed_composition_shift</x:v>
      </x:c>
      <x:c r="N134" t="str">
        <x:v>weeping flange</x:v>
      </x:c>
      <x:c r="O134" t="str">
        <x:v>LEAK</x:v>
      </x:c>
      <x:c r="P134" t="str">
        <x:v>GASKET</x:v>
      </x:c>
      <x:c r="Q134" t="str">
        <x:v>N</x:v>
      </x:c>
      <x:c r="R134" t="str">
        <x:v>3.2</x:v>
      </x:c>
      <x:c r="S134" t="str">
        <x:v>6344.1</x:v>
      </x:c>
      <x:c r="T134" t="str">
        <x:v>T-501 not ok after feed composition shift</x:v>
      </x:c>
      <x:c r="U134" t="str">
        <x:v>A shift called for T-501 deethanizer colmn, c3 in feed hi seen during feed composition shift. Foud weeping flange; manway/flange seep. History shows same complain last mnth. opened strainer, cleaned black sludge. no leak at handover. notif made by ops, maint attended same shift.</x:v>
      </x:c>
    </x:row>
    <x:row r="135" ht="15" hidden="0" customHeight="1">
      <x:c r="A135" t="str">
        <x:v>10450134</x:v>
      </x:c>
      <x:c r="B135" t="str">
        <x:v>40870134</x:v>
      </x:c>
      <x:c r="C135" t="str">
        <x:v>2021-12-15</x:v>
      </x:c>
      <x:c r="D135" t="str">
        <x:v>2021-12-15</x:v>
      </x:c>
      <x:c r="E135" t="str">
        <x:v>2021-12-15</x:v>
      </x:c>
      <x:c r="F135" t="str">
        <x:v>U400-DEETHANIZER-500</x:v>
      </x:c>
      <x:c r="G135" t="str">
        <x:v>TT-501B</x:v>
      </x:c>
      <x:c r="H135" t="str">
        <x:v>sensitive tray temperature tx</x:v>
      </x:c>
      <x:c r="I135" t="str">
        <x:v>instrument</x:v>
      </x:c>
      <x:c r="J135" t="str">
        <x:v>P3</x:v>
      </x:c>
      <x:c r="K135" t="str">
        <x:v>COMP</x:v>
      </x:c>
      <x:c r="L135" t="str">
        <x:v>OPS+INST</x:v>
      </x:c>
      <x:c r="M135" t="str">
        <x:v>feed_temperature_ramp</x:v>
      </x:c>
      <x:c r="N135" t="str">
        <x:v>range err</x:v>
      </x:c>
      <x:c r="O135" t="str">
        <x:v>SPAN</x:v>
      </x:c>
      <x:c r="P135" t="str">
        <x:v>CAL</x:v>
      </x:c>
      <x:c r="Q135" t="str">
        <x:v>N</x:v>
      </x:c>
      <x:c r="R135" t="str">
        <x:v>5.6</x:v>
      </x:c>
      <x:c r="S135" t="str">
        <x:v>1175.24</x:v>
      </x:c>
      <x:c r="T135" t="str">
        <x:v>TT-501B range err again, prod upset</x:v>
      </x:c>
      <x:c r="U135" t="str">
        <x:v>C shift called for TT-501B sensitive tray temperature tx, ovhd press moving seen during feed temperature ramp. Foud range err; span shifted. History shows same complain last mnth. replaced positioner tubing and retuned small. temp repair only, plan shutdown job. notif made by ops, maint attended same shift.</x:v>
      </x:c>
    </x:row>
    <x:row r="136" ht="15" hidden="0" customHeight="1">
      <x:c r="A136" t="str">
        <x:v>10450135</x:v>
      </x:c>
      <x:c r="B136" t="str">
        <x:v>40870135</x:v>
      </x:c>
      <x:c r="C136" t="str">
        <x:v>2021-12-15</x:v>
      </x:c>
      <x:c r="D136" t="str">
        <x:v>2021-12-15</x:v>
      </x:c>
      <x:c r="E136" t="str">
        <x:v>2021-12-15</x:v>
      </x:c>
      <x:c r="F136" t="str">
        <x:v>U400-DEETHANIZER-500</x:v>
      </x:c>
      <x:c r="G136" t="str">
        <x:v>FV-502</x:v>
      </x:c>
      <x:c r="H136" t="str">
        <x:v>reflux flow control valve</x:v>
      </x:c>
      <x:c r="I136" t="str">
        <x:v>control_valve</x:v>
      </x:c>
      <x:c r="J136" t="str">
        <x:v>P3</x:v>
      </x:c>
      <x:c r="K136" t="str">
        <x:v>CLSD</x:v>
      </x:c>
      <x:c r="L136" t="str">
        <x:v>E&amp;I</x:v>
      </x:c>
      <x:c r="M136" t="str">
        <x:v>valve_stiction</x:v>
      </x:c>
      <x:c r="N136" t="str">
        <x:v>stiction</x:v>
      </x:c>
      <x:c r="O136" t="str">
        <x:v>STICK</x:v>
      </x:c>
      <x:c r="P136" t="str">
        <x:v>PACKING</x:v>
      </x:c>
      <x:c r="Q136" t="str">
        <x:v>N</x:v>
      </x:c>
      <x:c r="R136" t="str">
        <x:v>2.0</x:v>
      </x:c>
      <x:c r="S136" t="str">
        <x:v>5318.16</x:v>
      </x:c>
      <x:c r="T136" t="str">
        <x:v>chk FV-502 - stiction frm ops</x:v>
      </x:c>
      <x:c r="U136" t="str">
        <x:v>days called for FV-502 reflux flow control vavle, air leak seen during vavle stiction. Foud stiction; stem sticky and pos err. replaced positioner tubing and retuned small. readng close to dcs after job. notif made by ops, maint attended same shift.</x:v>
      </x:c>
    </x:row>
    <x:row r="137" ht="15" hidden="0" customHeight="1">
      <x:c r="A137" t="str">
        <x:v>10450136</x:v>
      </x:c>
      <x:c r="B137" t="str">
        <x:v>40870136</x:v>
      </x:c>
      <x:c r="C137" t="str">
        <x:v>2021-12-18</x:v>
      </x:c>
      <x:c r="D137" t="str">
        <x:v>2021-12-18</x:v>
      </x:c>
      <x:c r="E137" t="str">
        <x:v>2021-12-19</x:v>
      </x:c>
      <x:c r="F137" t="str">
        <x:v>U400-DEETHANIZER-500</x:v>
      </x:c>
      <x:c r="G137" t="str">
        <x:v>FV-501</x:v>
      </x:c>
      <x:c r="H137" t="str">
        <x:v>feed flow control valve</x:v>
      </x:c>
      <x:c r="I137" t="str">
        <x:v>control_valve</x:v>
      </x:c>
      <x:c r="J137" t="str">
        <x:v>P3</x:v>
      </x:c>
      <x:c r="K137" t="str">
        <x:v>COMP</x:v>
      </x:c>
      <x:c r="L137" t="str">
        <x:v>E&amp;I</x:v>
      </x:c>
      <x:c r="M137" t="str">
        <x:v>feed_flow_step</x:v>
      </x:c>
      <x:c r="N137" t="str">
        <x:v>not stroking</x:v>
      </x:c>
      <x:c r="O137" t="str">
        <x:v>NO_TRAVEL</x:v>
      </x:c>
      <x:c r="P137" t="str">
        <x:v>ACT</x:v>
      </x:c>
      <x:c r="Q137" t="str">
        <x:v>N</x:v>
      </x:c>
      <x:c r="R137" t="str">
        <x:v>10.8</x:v>
      </x:c>
      <x:c r="S137" t="str">
        <x:v>1028.27</x:v>
      </x:c>
      <x:c r="T137" t="str">
        <x:v>FV-501 not stroking bad</x:v>
      </x:c>
      <x:c r="U137" t="str">
        <x:v>days called for FV-501 feed flow control valve, c2 recov down seen during feed flow step. Foud not stroking; actuator weak. stroke tested, response better. no leak at handover. notif made by ops, maint attended same shift.</x:v>
      </x:c>
    </x:row>
    <x:row r="138" ht="15" hidden="0" customHeight="1">
      <x:c r="A138" t="str">
        <x:v>10450137</x:v>
      </x:c>
      <x:c r="B138" t="str">
        <x:v>40870137</x:v>
      </x:c>
      <x:c r="C138" t="str">
        <x:v>2021-12-16</x:v>
      </x:c>
      <x:c r="D138" t="str">
        <x:v>2021-12-16</x:v>
      </x:c>
      <x:c r="E138" t="str">
        <x:v>2021-12-17</x:v>
      </x:c>
      <x:c r="F138" t="str">
        <x:v>U400-DEETHANIZER-500</x:v>
      </x:c>
      <x:c r="G138" t="str">
        <x:v>PV-501</x:v>
      </x:c>
      <x:c r="H138" t="str">
        <x:v>column pressure control valve</x:v>
      </x:c>
      <x:c r="I138" t="str">
        <x:v>control_valve</x:v>
      </x:c>
      <x:c r="J138" t="str">
        <x:v>P3</x:v>
      </x:c>
      <x:c r="K138" t="str">
        <x:v>COMP</x:v>
      </x:c>
      <x:c r="L138" t="str">
        <x:v>MECH</x:v>
      </x:c>
      <x:c r="M138" t="str">
        <x:v>valve_stiction</x:v>
      </x:c>
      <x:c r="N138" t="str">
        <x:v>not stroking</x:v>
      </x:c>
      <x:c r="O138" t="str">
        <x:v>NO_TRAVEL</x:v>
      </x:c>
      <x:c r="P138" t="str">
        <x:v>ACT</x:v>
      </x:c>
      <x:c r="Q138" t="str">
        <x:v>N</x:v>
      </x:c>
      <x:c r="R138" t="str">
        <x:v>2.9</x:v>
      </x:c>
      <x:c r="S138" t="str">
        <x:v>4446.81</x:v>
      </x:c>
      <x:c r="T138" t="str">
        <x:v>PV-501 not stroking temp fix</x:v>
      </x:c>
      <x:c r="U138" t="str">
        <x:v>A shift called for PV-501 colmn pressure ctrl valve, op jumps seen during valve stiction. Foud not stroking; actuator weak. Tag plate dirty, confirmd by line up with panel. stroke tested, response better. unit stable now. notif made by ops, maint attended same shift.</x:v>
      </x:c>
    </x:row>
    <x:row r="139" ht="15" hidden="0" customHeight="1">
      <x:c r="A139" t="str">
        <x:v>10450138</x:v>
      </x:c>
      <x:c r="B139" t="str">
        <x:v>40870138</x:v>
      </x:c>
      <x:c r="C139" t="str">
        <x:v>2021-12-21</x:v>
      </x:c>
      <x:c r="D139" t="str">
        <x:v>2021-12-22</x:v>
      </x:c>
      <x:c r="E139" t="str">
        <x:v>2021-12-23</x:v>
      </x:c>
      <x:c r="F139" t="str">
        <x:v>U400-DEETHANIZER-500</x:v>
      </x:c>
      <x:c r="G139" t="str">
        <x:v>FV-501</x:v>
      </x:c>
      <x:c r="H139" t="str">
        <x:v>feed flow control valve</x:v>
      </x:c>
      <x:c r="I139" t="str">
        <x:v>control_valve</x:v>
      </x:c>
      <x:c r="J139" t="str">
        <x:v>P2</x:v>
      </x:c>
      <x:c r="K139" t="str">
        <x:v>TECO</x:v>
      </x:c>
      <x:c r="L139" t="str">
        <x:v>ANLYZR</x:v>
      </x:c>
      <x:c r="M139" t="str">
        <x:v>valve_stiction</x:v>
      </x:c>
      <x:c r="N139" t="str">
        <x:v>stiction</x:v>
      </x:c>
      <x:c r="O139" t="str">
        <x:v>STICK</x:v>
      </x:c>
      <x:c r="P139" t="str">
        <x:v>PACKING</x:v>
      </x:c>
      <x:c r="Q139" t="str">
        <x:v>N</x:v>
      </x:c>
      <x:c r="R139" t="str">
        <x:v>11.8</x:v>
      </x:c>
      <x:c r="S139" t="str">
        <x:v>6627.81</x:v>
      </x:c>
      <x:c r="T139" t="str">
        <x:v>chk FV-501 - stiction frm ops</x:v>
      </x:c>
      <x:c r="U139" t="str">
        <x:v>A shift called for FV-501 feed flow control valve, loop cycling seen during valve stiction. Foud stiction; stem sticky and pos err. swapped to standby and repaired. need watch next feed swing. notif made by ops, maint attended same shift.</x:v>
      </x:c>
    </x:row>
    <x:row r="140" ht="15" hidden="0" customHeight="1">
      <x:c r="A140" t="str">
        <x:v>10450139</x:v>
      </x:c>
      <x:c r="B140" t="str">
        <x:v>40870139</x:v>
      </x:c>
      <x:c r="C140" t="str">
        <x:v>2021-12-23</x:v>
      </x:c>
      <x:c r="D140" t="str">
        <x:v>2021-12-25</x:v>
      </x:c>
      <x:c r="E140" t="str">
        <x:v>2021-12-25</x:v>
      </x:c>
      <x:c r="F140" t="str">
        <x:v>U400-DEETHANIZER-500</x:v>
      </x:c>
      <x:c r="G140" t="str">
        <x:v>P-501A</x:v>
      </x:c>
      <x:c r="H140" t="str">
        <x:v>reflux pump A</x:v>
      </x:c>
      <x:c r="I140" t="str">
        <x:v>pump</x:v>
      </x:c>
      <x:c r="J140" t="str">
        <x:v>P3</x:v>
      </x:c>
      <x:c r="K140" t="str">
        <x:v>COMP</x:v>
      </x:c>
      <x:c r="L140" t="str">
        <x:v>MECH</x:v>
      </x:c>
      <x:c r="M140" t="str">
        <x:v>reflux_pump_degradation</x:v>
      </x:c>
      <x:c r="N140" t="str">
        <x:v>seal leak</x:v>
      </x:c>
      <x:c r="O140" t="str">
        <x:v>MECH_SEAL</x:v>
      </x:c>
      <x:c r="P140" t="str">
        <x:v>SEAL</x:v>
      </x:c>
      <x:c r="Q140" t="str">
        <x:v>N</x:v>
      </x:c>
      <x:c r="R140" t="str">
        <x:v>9.3</x:v>
      </x:c>
      <x:c r="S140" t="str">
        <x:v>155.83</x:v>
      </x:c>
      <x:c r="T140" t="str">
        <x:v>P-501A not ok after reflux pump degradation</x:v>
      </x:c>
      <x:c r="U140" t="str">
        <x:v>A shift called for P-501A reflux pump A, min flow hot seen during reflux pump degradation. Foud seal leak; seal face worn / dry run signs. History shows same complain last mnth. calibrated, loop checked with CCR. no leak at handover. notif made by ops, maint attended same shift.</x:v>
      </x:c>
    </x:row>
    <x:row r="141" ht="15" hidden="0" customHeight="1">
      <x:c r="A141" t="str">
        <x:v>10450140</x:v>
      </x:c>
      <x:c r="B141" t="str">
        <x:v>40870140</x:v>
      </x:c>
      <x:c r="C141" t="str">
        <x:v>2021-12-24</x:v>
      </x:c>
      <x:c r="D141" t="str">
        <x:v>2021-12-24</x:v>
      </x:c>
      <x:c r="E141" t="str">
        <x:v>2021-12-25</x:v>
      </x:c>
      <x:c r="F141" t="str">
        <x:v>U400-DEETHANIZER-500</x:v>
      </x:c>
      <x:c r="G141" t="str">
        <x:v>P-501A</x:v>
      </x:c>
      <x:c r="H141" t="str">
        <x:v>reflux pump A</x:v>
      </x:c>
      <x:c r="I141" t="str">
        <x:v>pump</x:v>
      </x:c>
      <x:c r="J141" t="str">
        <x:v>P2</x:v>
      </x:c>
      <x:c r="K141" t="str">
        <x:v>CLSD</x:v>
      </x:c>
      <x:c r="L141" t="str">
        <x:v>OPS+INST</x:v>
      </x:c>
      <x:c r="M141" t="str">
        <x:v>reflux_pump_degradation</x:v>
      </x:c>
      <x:c r="N141" t="str">
        <x:v>bearing hot</x:v>
      </x:c>
      <x:c r="O141" t="str">
        <x:v>BRG</x:v>
      </x:c>
      <x:c r="P141" t="str">
        <x:v>WEAR</x:v>
      </x:c>
      <x:c r="Q141" t="str">
        <x:v>N</x:v>
      </x:c>
      <x:c r="R141" t="str">
        <x:v>14.0</x:v>
      </x:c>
      <x:c r="S141" t="str">
        <x:v>4311.15</x:v>
      </x:c>
      <x:c r="T141" t="str">
        <x:v>P-501A not ok after reflux pump degradation</x:v>
      </x:c>
      <x:c r="U141" t="str">
        <x:v>C shift called for P-501A reflux pump A, disch press low seen during reflux pump degradation. Foud bearing hot; brg rough, lube dark. stroke tested, response better. ops says ok for now. notif made by ops, maint attended same shift.</x:v>
      </x:c>
    </x:row>
    <x:row r="142" ht="15" hidden="0" customHeight="1">
      <x:c r="A142" t="str">
        <x:v>10450141</x:v>
      </x:c>
      <x:c r="B142" t="str">
        <x:v>40870141</x:v>
      </x:c>
      <x:c r="C142" t="str">
        <x:v>2021-12-23</x:v>
      </x:c>
      <x:c r="D142" t="str">
        <x:v>2021-12-23</x:v>
      </x:c>
      <x:c r="E142" t="str">
        <x:v>2021-12-23</x:v>
      </x:c>
      <x:c r="F142" t="str">
        <x:v>U400-DEETHANIZER-500</x:v>
      </x:c>
      <x:c r="G142" t="str">
        <x:v>E-503</x:v>
      </x:c>
      <x:c r="H142" t="str">
        <x:v>feed bottoms exchanger</x:v>
      </x:c>
      <x:c r="I142" t="str">
        <x:v>exchanger</x:v>
      </x:c>
      <x:c r="J142" t="str">
        <x:v>P2</x:v>
      </x:c>
      <x:c r="K142" t="str">
        <x:v>COMP</x:v>
      </x:c>
      <x:c r="L142" t="str">
        <x:v>INST</x:v>
      </x:c>
      <x:c r="M142" t="str">
        <x:v>feed_composition_shift</x:v>
      </x:c>
      <x:c r="N142" t="str">
        <x:v>tube fouling</x:v>
      </x:c>
      <x:c r="O142" t="str">
        <x:v>FOULING</x:v>
      </x:c>
      <x:c r="P142" t="str">
        <x:v>PROCESS</x:v>
      </x:c>
      <x:c r="Q142" t="str">
        <x:v>Y</x:v>
      </x:c>
      <x:c r="R142" t="str">
        <x:v>9.8</x:v>
      </x:c>
      <x:c r="S142" t="str">
        <x:v>14196.47</x:v>
      </x:c>
      <x:c r="T142" t="str">
        <x:v>chk E-503 - tube fouling frm ops</x:v>
      </x:c>
      <x:c r="U142" t="str">
        <x:v>night called for E-503 feed bottoms exchanger, btm heavy seen during feed composition shift. Foud tube fouling; duty low, delta t poor. tightened fittings, leak test ok. ops says ok for now. notif made by ops, maint attended same shift.</x:v>
      </x:c>
    </x:row>
    <x:row r="143" ht="15" hidden="0" customHeight="1">
      <x:c r="A143" t="str">
        <x:v>10450142</x:v>
      </x:c>
      <x:c r="B143" t="str">
        <x:v>40870142</x:v>
      </x:c>
      <x:c r="C143" t="str">
        <x:v>2021-12-23</x:v>
      </x:c>
      <x:c r="D143" t="str">
        <x:v>2021-12-23</x:v>
      </x:c>
      <x:c r="E143" t="str">
        <x:v>2021-12-24</x:v>
      </x:c>
      <x:c r="F143" t="str">
        <x:v>U400-DEETHANIZER-500</x:v>
      </x:c>
      <x:c r="G143" t="str">
        <x:v>PSV-501A</x:v>
      </x:c>
      <x:c r="H143" t="str">
        <x:v>column relief valve A</x:v>
      </x:c>
      <x:c r="I143" t="str">
        <x:v>relief</x:v>
      </x:c>
      <x:c r="J143" t="str">
        <x:v>P3</x:v>
      </x:c>
      <x:c r="K143" t="str">
        <x:v>TECO</x:v>
      </x:c>
      <x:c r="L143" t="str">
        <x:v>E&amp;I</x:v>
      </x:c>
      <x:c r="M143" t="str">
        <x:v>pressure_control_fault</x:v>
      </x:c>
      <x:c r="N143" t="str">
        <x:v>due to lift chk</x:v>
      </x:c>
      <x:c r="O143" t="str">
        <x:v>LIFT_EVENT</x:v>
      </x:c>
      <x:c r="P143" t="str">
        <x:v>PROCESS</x:v>
      </x:c>
      <x:c r="Q143" t="str">
        <x:v>N</x:v>
      </x:c>
      <x:c r="R143" t="str">
        <x:v>13.5</x:v>
      </x:c>
      <x:c r="S143" t="str">
        <x:v>3149.76</x:v>
      </x:c>
      <x:c r="T143" t="str">
        <x:v>chk PSV-501A - due to lift chk frm ops</x:v>
      </x:c>
      <x:c r="U143" t="str">
        <x:v>A shift called for PSV-501A column relief valve A, pshh close call seen during pressure control fault. Foud due to lift chk; after pressure excursion. opened strainer, cleaned black sludge. need watch next feed swing. notif made by ops, maint attended same shift.</x:v>
      </x:c>
    </x:row>
    <x:row r="144" ht="15" hidden="0" customHeight="1">
      <x:c r="A144" t="str">
        <x:v>10450143</x:v>
      </x:c>
      <x:c r="B144" t="str">
        <x:v>40870143</x:v>
      </x:c>
      <x:c r="C144" t="str">
        <x:v>2021-12-29</x:v>
      </x:c>
      <x:c r="D144" t="str">
        <x:v>2021-12-29</x:v>
      </x:c>
      <x:c r="E144" t="str">
        <x:v>2022-01-03</x:v>
      </x:c>
      <x:c r="F144" t="str">
        <x:v>U400-DEETHANIZER-500</x:v>
      </x:c>
      <x:c r="G144" t="str">
        <x:v>FT-502</x:v>
      </x:c>
      <x:c r="H144" t="str">
        <x:v>reflux flow transmitter</x:v>
      </x:c>
      <x:c r="I144" t="str">
        <x:v>instrument</x:v>
      </x:c>
      <x:c r="J144" t="str">
        <x:v>P1</x:v>
      </x:c>
      <x:c r="K144" t="str">
        <x:v>TECO</x:v>
      </x:c>
      <x:c r="L144" t="str">
        <x:v>ANLYZR</x:v>
      </x:c>
      <x:c r="M144" t="str">
        <x:v>reflux_pump_degradation</x:v>
      </x:c>
      <x:c r="N144" t="str">
        <x:v>impulse plugged</x:v>
      </x:c>
      <x:c r="O144" t="str">
        <x:v>PLUG</x:v>
      </x:c>
      <x:c r="P144" t="str">
        <x:v>PROCESS</x:v>
      </x:c>
      <x:c r="Q144" t="str">
        <x:v>N</x:v>
      </x:c>
      <x:c r="R144" t="str">
        <x:v>13.4</x:v>
      </x:c>
      <x:c r="S144" t="str">
        <x:v>3908.84</x:v>
      </x:c>
      <x:c r="T144" t="str">
        <x:v>FT-502 impulse plugged pls chk</x:v>
      </x:c>
      <x:c r="U144" t="str">
        <x:v>C shift called for FT-502 reflux flow transmitter, disch press low seen during reflux pump degradation. Foud impulse plugged; tap/line dirty. tightened fittings, leak test ok. no leak at handover. notif made by ops, maint attended same shift.</x:v>
      </x:c>
    </x:row>
    <x:row r="145" ht="15" hidden="0" customHeight="1">
      <x:c r="A145" t="str">
        <x:v>10450144</x:v>
      </x:c>
      <x:c r="B145" t="str">
        <x:v>40870144</x:v>
      </x:c>
      <x:c r="C145" t="str">
        <x:v>2021-12-29</x:v>
      </x:c>
      <x:c r="D145" t="str">
        <x:v>2021-12-30</x:v>
      </x:c>
      <x:c r="E145" t="str">
        <x:v>2021-12-30</x:v>
      </x:c>
      <x:c r="F145" t="str">
        <x:v>U400-DEETHANIZER-500</x:v>
      </x:c>
      <x:c r="G145" t="str">
        <x:v>TV-502</x:v>
      </x:c>
      <x:c r="H145" t="str">
        <x:v>condenser cooling valve</x:v>
      </x:c>
      <x:c r="I145" t="str">
        <x:v>control_valve</x:v>
      </x:c>
      <x:c r="J145" t="str">
        <x:v>P2</x:v>
      </x:c>
      <x:c r="K145" t="str">
        <x:v>CLSD</x:v>
      </x:c>
      <x:c r="L145" t="str">
        <x:v>E&amp;I</x:v>
      </x:c>
      <x:c r="M145" t="str">
        <x:v>condenser_fouling</x:v>
      </x:c>
      <x:c r="N145" t="str">
        <x:v>stiction</x:v>
      </x:c>
      <x:c r="O145" t="str">
        <x:v>STICK</x:v>
      </x:c>
      <x:c r="P145" t="str">
        <x:v>PACKING</x:v>
      </x:c>
      <x:c r="Q145" t="str">
        <x:v>N</x:v>
      </x:c>
      <x:c r="R145" t="str">
        <x:v>7.5</x:v>
      </x:c>
      <x:c r="S145" t="str">
        <x:v>3740.76</x:v>
      </x:c>
      <x:c r="T145" t="str">
        <x:v>TV-502 not ok after condenser fouling</x:v>
      </x:c>
      <x:c r="U145" t="str">
        <x:v>A shift called for TV-502 condenser cooling valve, pic wide open seen during condenser fouling. Foud stiction; stem sticky and pos err. replaced positioner tubing and retuned small. readng close to dcs after job. notif made by ops, maint attended same shift.</x:v>
      </x:c>
    </x:row>
    <x:row r="146" ht="15" hidden="0" customHeight="1">
      <x:c r="A146" t="str">
        <x:v>10450145</x:v>
      </x:c>
      <x:c r="B146" t="str">
        <x:v>40870145</x:v>
      </x:c>
      <x:c r="C146" t="str">
        <x:v>2021-12-28</x:v>
      </x:c>
      <x:c r="D146" t="str">
        <x:v>2021-12-28</x:v>
      </x:c>
      <x:c r="E146" t="str">
        <x:v>2021-12-30</x:v>
      </x:c>
      <x:c r="F146" t="str">
        <x:v>U400-DEETHANIZER-500</x:v>
      </x:c>
      <x:c r="G146" t="str">
        <x:v>FV-502</x:v>
      </x:c>
      <x:c r="H146" t="str">
        <x:v>reflux flow control valve</x:v>
      </x:c>
      <x:c r="I146" t="str">
        <x:v>control_valve</x:v>
      </x:c>
      <x:c r="J146" t="str">
        <x:v>P2</x:v>
      </x:c>
      <x:c r="K146" t="str">
        <x:v>TECO</x:v>
      </x:c>
      <x:c r="L146" t="str">
        <x:v>MECH</x:v>
      </x:c>
      <x:c r="M146" t="str">
        <x:v>valve_stiction</x:v>
      </x:c>
      <x:c r="N146" t="str">
        <x:v>hunting loop</x:v>
      </x:c>
      <x:c r="O146" t="str">
        <x:v>CTRL_OSC</x:v>
      </x:c>
      <x:c r="P146" t="str">
        <x:v>TUNE</x:v>
      </x:c>
      <x:c r="Q146" t="str">
        <x:v>N</x:v>
      </x:c>
      <x:c r="R146" t="str">
        <x:v>14.8</x:v>
      </x:c>
      <x:c r="S146" t="str">
        <x:v>4847.11</x:v>
      </x:c>
      <x:c r="T146" t="str">
        <x:v>FV-502 not ok after valve stiction</x:v>
      </x:c>
      <x:c r="U146" t="str">
        <x:v>days called for FV-502 rflx flow control valve, valve sticking seen during valve stiction. Foud hunting loop; bad response after upset. Line was hot so job done slow and with ops standing by. reset trip and monitored for 2 hrs. ops says ok for now. notif made by ops, maint attended same shift.</x:v>
      </x:c>
    </x:row>
    <x:row r="147" ht="15" hidden="0" customHeight="1">
      <x:c r="A147" t="str">
        <x:v>10450146</x:v>
      </x:c>
      <x:c r="B147" t="str">
        <x:v>40870146</x:v>
      </x:c>
      <x:c r="C147" t="str">
        <x:v>2022-01-02</x:v>
      </x:c>
      <x:c r="D147" t="str">
        <x:v>2022-01-03</x:v>
      </x:c>
      <x:c r="E147" t="str">
        <x:v>2022-01-06</x:v>
      </x:c>
      <x:c r="F147" t="str">
        <x:v>U400-DEETHANIZER-500</x:v>
      </x:c>
      <x:c r="G147" t="str">
        <x:v>P-502B</x:v>
      </x:c>
      <x:c r="H147" t="str">
        <x:v>bottoms pump B</x:v>
      </x:c>
      <x:c r="I147" t="str">
        <x:v>pump</x:v>
      </x:c>
      <x:c r="J147" t="str">
        <x:v>P4</x:v>
      </x:c>
      <x:c r="K147" t="str">
        <x:v>TECO</x:v>
      </x:c>
      <x:c r="L147" t="str">
        <x:v>MECH</x:v>
      </x:c>
      <x:c r="M147" t="str">
        <x:v>feed_composition_shift</x:v>
      </x:c>
      <x:c r="N147" t="str">
        <x:v>low disch press</x:v>
      </x:c>
      <x:c r="O147" t="str">
        <x:v>HYD_LOSS</x:v>
      </x:c>
      <x:c r="P147" t="str">
        <x:v>FOUL</x:v>
      </x:c>
      <x:c r="Q147" t="str">
        <x:v>N</x:v>
      </x:c>
      <x:c r="R147" t="str">
        <x:v>16.1</x:v>
      </x:c>
      <x:c r="S147" t="str">
        <x:v>356.96</x:v>
      </x:c>
      <x:c r="T147" t="str">
        <x:v>P-502B ovhd c3 slip, low disch press</x:v>
      </x:c>
      <x:c r="U147" t="str">
        <x:v>A shift called for P-502B bottoms pump B, quality bad seen during feed composition shift. Foud low disch press; strainer dirty or impeller wear. Could not get permit first time waiting area gas test. flushed impulse/sample line. still little hunting but acceptable. notif made by ops, maint attended same shift.</x:v>
      </x:c>
    </x:row>
    <x:row r="148" ht="15" hidden="0" customHeight="1">
      <x:c r="A148" t="str">
        <x:v>10450147</x:v>
      </x:c>
      <x:c r="B148" t="str">
        <x:v>40870147</x:v>
      </x:c>
      <x:c r="C148" t="str">
        <x:v>2022-01-05</x:v>
      </x:c>
      <x:c r="D148" t="str">
        <x:v>2022-01-05</x:v>
      </x:c>
      <x:c r="E148" t="str">
        <x:v>2022-01-07</x:v>
      </x:c>
      <x:c r="F148" t="str">
        <x:v>U400-DEETHANIZER-500</x:v>
      </x:c>
      <x:c r="G148" t="str">
        <x:v>T-501</x:v>
      </x:c>
      <x:c r="H148" t="str">
        <x:v>deethanizer column</x:v>
      </x:c>
      <x:c r="I148" t="str">
        <x:v>column</x:v>
      </x:c>
      <x:c r="J148" t="str">
        <x:v>P4</x:v>
      </x:c>
      <x:c r="K148" t="str">
        <x:v>TECO</x:v>
      </x:c>
      <x:c r="L148" t="str">
        <x:v>VALVE</x:v>
      </x:c>
      <x:c r="M148" t="str">
        <x:v>feed_flow_step</x:v>
      </x:c>
      <x:c r="N148" t="str">
        <x:v>level unstable</x:v>
      </x:c>
      <x:c r="O148" t="str">
        <x:v>LVL_SWING</x:v>
      </x:c>
      <x:c r="P148" t="str">
        <x:v>CTRL</x:v>
      </x:c>
      <x:c r="Q148" t="str">
        <x:v>N</x:v>
      </x:c>
      <x:c r="R148" t="str">
        <x:v>1.7</x:v>
      </x:c>
      <x:c r="S148" t="str">
        <x:v>4423.51</x:v>
      </x:c>
      <x:c r="T148" t="str">
        <x:v>T-501 not ok after feed flow step</x:v>
      </x:c>
      <x:c r="U148" t="str">
        <x:v>night called for T-501 deethanizer column, c2 recov down seen during feed flow step. Foud level unstable; sump level swing. tightened fittings, leak test ok. ops says ok for now. notif made by ops, maint attended same shift.</x:v>
      </x:c>
    </x:row>
    <x:row r="149" ht="15" hidden="0" customHeight="1">
      <x:c r="A149" t="str">
        <x:v>10450148</x:v>
      </x:c>
      <x:c r="B149" t="str">
        <x:v>40870148</x:v>
      </x:c>
      <x:c r="C149" t="str">
        <x:v>2022-01-06</x:v>
      </x:c>
      <x:c r="D149" t="str">
        <x:v>2022-01-06</x:v>
      </x:c>
      <x:c r="E149" t="str">
        <x:v>2022-01-20</x:v>
      </x:c>
      <x:c r="F149" t="str">
        <x:v>U400-DEETHANIZER-500</x:v>
      </x:c>
      <x:c r="G149" t="str">
        <x:v>PV-501</x:v>
      </x:c>
      <x:c r="H149" t="str">
        <x:v>column pressure control valve</x:v>
      </x:c>
      <x:c r="I149" t="str">
        <x:v>control_valve</x:v>
      </x:c>
      <x:c r="J149" t="str">
        <x:v>P4</x:v>
      </x:c>
      <x:c r="K149" t="str">
        <x:v>TECO</x:v>
      </x:c>
      <x:c r="L149" t="str">
        <x:v>ROT</x:v>
      </x:c>
      <x:c r="M149" t="str">
        <x:v>pressure_control_fault</x:v>
      </x:c>
      <x:c r="N149" t="str">
        <x:v>not stroking</x:v>
      </x:c>
      <x:c r="O149" t="str">
        <x:v>NO_TRAVEL</x:v>
      </x:c>
      <x:c r="P149" t="str">
        <x:v>ACT</x:v>
      </x:c>
      <x:c r="Q149" t="str">
        <x:v>N</x:v>
      </x:c>
      <x:c r="R149" t="str">
        <x:v>17.8</x:v>
      </x:c>
      <x:c r="S149" t="str">
        <x:v>3552.74</x:v>
      </x:c>
      <x:c r="T149" t="str">
        <x:v>PV-501 not stroking again</x:v>
      </x:c>
      <x:c r="U149" t="str">
        <x:v>B shift called for PV-501 colmn pressure ctrl valve, flare valve checked seen during pressure ctrl fault. Foud not stroking; actuator weak. Could not get permit first time waiting area gas test. stroke tested, response better. readng close to dcs after job. notif made by ops, maint attended same shift.</x:v>
      </x:c>
    </x:row>
    <x:row r="150" ht="15" hidden="0" customHeight="1">
      <x:c r="A150" t="str">
        <x:v>10450149</x:v>
      </x:c>
      <x:c r="B150" t="str">
        <x:v>40870149</x:v>
      </x:c>
      <x:c r="C150" t="str">
        <x:v>2022-01-05</x:v>
      </x:c>
      <x:c r="D150" t="str">
        <x:v>2022-01-05</x:v>
      </x:c>
      <x:c r="E150" t="str">
        <x:v>2022-01-05</x:v>
      </x:c>
      <x:c r="F150" t="str">
        <x:v>U400-DEETHANIZER-500</x:v>
      </x:c>
      <x:c r="G150" t="str">
        <x:v>TV-501</x:v>
      </x:c>
      <x:c r="H150" t="str">
        <x:v>reboiler hot medium valve</x:v>
      </x:c>
      <x:c r="I150" t="str">
        <x:v>control_valve</x:v>
      </x:c>
      <x:c r="J150" t="str">
        <x:v>P3</x:v>
      </x:c>
      <x:c r="K150" t="str">
        <x:v>TECO</x:v>
      </x:c>
      <x:c r="L150" t="str">
        <x:v>MECH</x:v>
      </x:c>
      <x:c r="M150" t="str">
        <x:v>feed_temperature_ramp</x:v>
      </x:c>
      <x:c r="N150" t="str">
        <x:v>air leak</x:v>
      </x:c>
      <x:c r="O150" t="str">
        <x:v>AIR_LEAK</x:v>
      </x:c>
      <x:c r="P150" t="str">
        <x:v>TUBING</x:v>
      </x:c>
      <x:c r="Q150" t="str">
        <x:v>N</x:v>
      </x:c>
      <x:c r="R150" t="str">
        <x:v>4.6</x:v>
      </x:c>
      <x:c r="S150" t="str">
        <x:v>5769.85</x:v>
      </x:c>
      <x:c r="T150" t="str">
        <x:v>TV-501 spec off, air leak</x:v>
      </x:c>
      <x:c r="U150" t="str">
        <x:v>days called for TV-501 reboiler hot medium vavle, feed temp high seen during feed temperature ramp. Foud air leak; positioner supply drop. No spare in store at first, used refurb one from shop. opened strainer, cleaned black sludge. temp repair only, plan shutdown job. notif made by ops, maint attended same shift.</x:v>
      </x:c>
    </x:row>
    <x:row r="151" ht="15" hidden="0" customHeight="1">
      <x:c r="A151" t="str">
        <x:v>10450150</x:v>
      </x:c>
      <x:c r="B151" t="str">
        <x:v>40870150</x:v>
      </x:c>
      <x:c r="C151" t="str">
        <x:v>2022-01-04</x:v>
      </x:c>
      <x:c r="D151" t="str">
        <x:v>2022-01-06</x:v>
      </x:c>
      <x:c r="E151" t="str">
        <x:v>2022-01-07</x:v>
      </x:c>
      <x:c r="F151" t="str">
        <x:v>U400-DEETHANIZER-500</x:v>
      </x:c>
      <x:c r="G151" t="str">
        <x:v>P-501B</x:v>
      </x:c>
      <x:c r="H151" t="str">
        <x:v>reflux pump B</x:v>
      </x:c>
      <x:c r="I151" t="str">
        <x:v>pump</x:v>
      </x:c>
      <x:c r="J151" t="str">
        <x:v>P2</x:v>
      </x:c>
      <x:c r="K151" t="str">
        <x:v>TECO</x:v>
      </x:c>
      <x:c r="L151" t="str">
        <x:v>MECH</x:v>
      </x:c>
      <x:c r="M151" t="str">
        <x:v>reflux_pump_degradation</x:v>
      </x:c>
      <x:c r="N151" t="str">
        <x:v>motor trip</x:v>
      </x:c>
      <x:c r="O151" t="str">
        <x:v>MOTOR</x:v>
      </x:c>
      <x:c r="P151" t="str">
        <x:v>ELEC</x:v>
      </x:c>
      <x:c r="Q151" t="str">
        <x:v>N</x:v>
      </x:c>
      <x:c r="R151" t="str">
        <x:v>15.7</x:v>
      </x:c>
      <x:c r="S151" t="str">
        <x:v>8575.76</x:v>
      </x:c>
      <x:c r="T151" t="str">
        <x:v>P-501B not ok after reflux pump degradation</x:v>
      </x:c>
      <x:c r="U151" t="str">
        <x:v>C shift called for P-501B reflux pump B, seal weep seen during reflux pump degradation. Foud motor trip; overload trip after upset. No spare in store at first, used refurb one from shop. cleaned and put back online. readng close to dcs after job. notif made by ops, maint attended same shift.</x:v>
      </x:c>
    </x:row>
    <x:row r="152" ht="15" hidden="0" customHeight="1">
      <x:c r="A152" t="str">
        <x:v>10450151</x:v>
      </x:c>
      <x:c r="B152" t="str">
        <x:v>40870151</x:v>
      </x:c>
      <x:c r="C152" t="str">
        <x:v>2022-01-06</x:v>
      </x:c>
      <x:c r="D152" t="str">
        <x:v>2022-01-06</x:v>
      </x:c>
      <x:c r="E152" t="str">
        <x:v>2022-01-08</x:v>
      </x:c>
      <x:c r="F152" t="str">
        <x:v>U400-DEETHANIZER-500</x:v>
      </x:c>
      <x:c r="G152" t="str">
        <x:v>TT-501B</x:v>
      </x:c>
      <x:c r="H152" t="str">
        <x:v>sensitive tray temperature tx</x:v>
      </x:c>
      <x:c r="I152" t="str">
        <x:v>instrument</x:v>
      </x:c>
      <x:c r="J152" t="str">
        <x:v>P4</x:v>
      </x:c>
      <x:c r="K152" t="str">
        <x:v>TECO</x:v>
      </x:c>
      <x:c r="L152" t="str">
        <x:v>INST</x:v>
      </x:c>
      <x:c r="M152" t="str">
        <x:v>reboiler_duty_loss</x:v>
      </x:c>
      <x:c r="N152" t="str">
        <x:v>bad reading</x:v>
      </x:c>
      <x:c r="O152" t="str">
        <x:v>DRIFT</x:v>
      </x:c>
      <x:c r="P152" t="str">
        <x:v>CAL</x:v>
      </x:c>
      <x:c r="Q152" t="str">
        <x:v>N</x:v>
      </x:c>
      <x:c r="R152" t="str">
        <x:v>2.7</x:v>
      </x:c>
      <x:c r="S152" t="str">
        <x:v>962.46</x:v>
      </x:c>
      <x:c r="T152" t="str">
        <x:v>TT-501B bad reading again, prod upset</x:v>
      </x:c>
      <x:c r="U152" t="str">
        <x:v>A shift called for TT-501B sensitive tray temperature tx, rb circ cold seen during reboiler duty loss. Foud bad reading; needs calib. flushed impulse/sample line. unit stable now. notif made by ops, maint attended same shift.</x:v>
      </x:c>
    </x:row>
    <x:row r="153" ht="15" hidden="0" customHeight="1">
      <x:c r="A153" t="str">
        <x:v>10450152</x:v>
      </x:c>
      <x:c r="B153" t="str">
        <x:v>40870152</x:v>
      </x:c>
      <x:c r="C153" t="str">
        <x:v>2022-01-09</x:v>
      </x:c>
      <x:c r="D153" t="str">
        <x:v>2022-01-09</x:v>
      </x:c>
      <x:c r="E153" t="str">
        <x:v>2022-01-10</x:v>
      </x:c>
      <x:c r="F153" t="str">
        <x:v>U400-DEETHANIZER-500</x:v>
      </x:c>
      <x:c r="G153" t="str">
        <x:v>TT-501B</x:v>
      </x:c>
      <x:c r="H153" t="str">
        <x:v>sensitive tray temperature tx</x:v>
      </x:c>
      <x:c r="I153" t="str">
        <x:v>instrument</x:v>
      </x:c>
      <x:c r="J153" t="str">
        <x:v>P3</x:v>
      </x:c>
      <x:c r="K153" t="str">
        <x:v>CLSD</x:v>
      </x:c>
      <x:c r="L153" t="str">
        <x:v>ANLYZR</x:v>
      </x:c>
      <x:c r="M153" t="str">
        <x:v>feed_temperature_ramp</x:v>
      </x:c>
      <x:c r="N153" t="str">
        <x:v>bad reading</x:v>
      </x:c>
      <x:c r="O153" t="str">
        <x:v>DRIFT</x:v>
      </x:c>
      <x:c r="P153" t="str">
        <x:v>CAL</x:v>
      </x:c>
      <x:c r="Q153" t="str">
        <x:v>N</x:v>
      </x:c>
      <x:c r="R153" t="str">
        <x:v>6.6</x:v>
      </x:c>
      <x:c r="S153" t="str">
        <x:v>721.79</x:v>
      </x:c>
      <x:c r="T153" t="str">
        <x:v>TT-501B not ok after feed temp ramp</x:v>
      </x:c>
      <x:c r="U153" t="str">
        <x:v>days called for TT-501B sensitive tray temperature tx, ovhd press moving seen during feed temperature ramp. Foud bad reading; needs calib. Could not get permit first time waiting area gas test. reset trip and monitored for 2 hrs. unit stable now. notif made by ops, maint attended same shift.</x:v>
      </x:c>
    </x:row>
    <x:row r="154" ht="15" hidden="0" customHeight="1">
      <x:c r="A154" t="str">
        <x:v>10450153</x:v>
      </x:c>
      <x:c r="B154" t="str">
        <x:v>40870153</x:v>
      </x:c>
      <x:c r="C154" t="str">
        <x:v>2022-01-11</x:v>
      </x:c>
      <x:c r="D154" t="str">
        <x:v>2022-01-13</x:v>
      </x:c>
      <x:c r="E154" t="str">
        <x:v>2022-01-15</x:v>
      </x:c>
      <x:c r="F154" t="str">
        <x:v>U400-DEETHANIZER-500</x:v>
      </x:c>
      <x:c r="G154" t="str">
        <x:v>TV-502</x:v>
      </x:c>
      <x:c r="H154" t="str">
        <x:v>condenser cooling valve</x:v>
      </x:c>
      <x:c r="I154" t="str">
        <x:v>control_valve</x:v>
      </x:c>
      <x:c r="J154" t="str">
        <x:v>P3</x:v>
      </x:c>
      <x:c r="K154" t="str">
        <x:v>TECO</x:v>
      </x:c>
      <x:c r="L154" t="str">
        <x:v>OPS+MECH</x:v>
      </x:c>
      <x:c r="M154" t="str">
        <x:v>condenser_fouling</x:v>
      </x:c>
      <x:c r="N154" t="str">
        <x:v>stiction</x:v>
      </x:c>
      <x:c r="O154" t="str">
        <x:v>STICK</x:v>
      </x:c>
      <x:c r="P154" t="str">
        <x:v>PACKING</x:v>
      </x:c>
      <x:c r="Q154" t="str">
        <x:v>N</x:v>
      </x:c>
      <x:c r="R154" t="str">
        <x:v>8.5</x:v>
      </x:c>
      <x:c r="S154" t="str">
        <x:v>5348.69</x:v>
      </x:c>
      <x:c r="T154" t="str">
        <x:v>TV-502 high ovhd press, stiction</x:v>
      </x:c>
      <x:c r="U154" t="str">
        <x:v>days called for TV-502 condenser cooling valve, high ovhd press seen during condenser fouling. Foud stiction; stem sticky and pos err. reset trip and monitored for 2 hrs. no leak at handover. notif made by ops, maint attended same shift.</x:v>
      </x:c>
    </x:row>
    <x:row r="155" ht="15" hidden="0" customHeight="1">
      <x:c r="A155" t="str">
        <x:v>10450154</x:v>
      </x:c>
      <x:c r="B155" t="str">
        <x:v>40870154</x:v>
      </x:c>
      <x:c r="C155" t="str">
        <x:v>2022-01-12</x:v>
      </x:c>
      <x:c r="D155" t="str">
        <x:v>2022-01-13</x:v>
      </x:c>
      <x:c r="E155" t="str">
        <x:v>2022-01-13</x:v>
      </x:c>
      <x:c r="F155" t="str">
        <x:v>U400-DEETHANIZER-500</x:v>
      </x:c>
      <x:c r="G155" t="str">
        <x:v>E-501</x:v>
      </x:c>
      <x:c r="H155" t="str">
        <x:v>deethanizer reboiler</x:v>
      </x:c>
      <x:c r="I155" t="str">
        <x:v>reboiler</x:v>
      </x:c>
      <x:c r="J155" t="str">
        <x:v>P2</x:v>
      </x:c>
      <x:c r="K155" t="str">
        <x:v>CLSD</x:v>
      </x:c>
      <x:c r="L155" t="str">
        <x:v>ANLYZR</x:v>
      </x:c>
      <x:c r="M155" t="str">
        <x:v>reboiler_duty_loss</x:v>
      </x:c>
      <x:c r="N155" t="str">
        <x:v>rb leak</x:v>
      </x:c>
      <x:c r="O155" t="str">
        <x:v>LEAK</x:v>
      </x:c>
      <x:c r="P155" t="str">
        <x:v>GASKET</x:v>
      </x:c>
      <x:c r="Q155" t="str">
        <x:v>N</x:v>
      </x:c>
      <x:c r="R155" t="str">
        <x:v>17.1</x:v>
      </x:c>
      <x:c r="S155" t="str">
        <x:v>14071.44</x:v>
      </x:c>
      <x:c r="T155" t="str">
        <x:v>E-501 not ok after reboiler duty loss</x:v>
      </x:c>
      <x:c r="U155" t="str">
        <x:v>night called for E-501 deethanizer reboiler, c2 in btm seen during reboiler duty loss. Foud rb leak; channel flange weep. swapped to standby and repaired. no leak at handover. notif made by ops, maint attended same shift.</x:v>
      </x:c>
    </x:row>
    <x:row r="156" ht="15" hidden="0" customHeight="1">
      <x:c r="A156" t="str">
        <x:v>10450155</x:v>
      </x:c>
      <x:c r="B156" t="str">
        <x:v>40870155</x:v>
      </x:c>
      <x:c r="C156" t="str">
        <x:v>2022-01-13</x:v>
      </x:c>
      <x:c r="D156" t="str">
        <x:v>2022-01-13</x:v>
      </x:c>
      <x:c r="E156" t="str">
        <x:v>2022-01-14</x:v>
      </x:c>
      <x:c r="F156" t="str">
        <x:v>U400-DEETHANIZER-500</x:v>
      </x:c>
      <x:c r="G156" t="str">
        <x:v>TV-501</x:v>
      </x:c>
      <x:c r="H156" t="str">
        <x:v>reboiler hot medium valve</x:v>
      </x:c>
      <x:c r="I156" t="str">
        <x:v>control_valve</x:v>
      </x:c>
      <x:c r="J156" t="str">
        <x:v>P3</x:v>
      </x:c>
      <x:c r="K156" t="str">
        <x:v>CLSD</x:v>
      </x:c>
      <x:c r="L156" t="str">
        <x:v>OPS+MECH</x:v>
      </x:c>
      <x:c r="M156" t="str">
        <x:v>reboiler_duty_loss</x:v>
      </x:c>
      <x:c r="N156" t="str">
        <x:v>stiction</x:v>
      </x:c>
      <x:c r="O156" t="str">
        <x:v>STICK</x:v>
      </x:c>
      <x:c r="P156" t="str">
        <x:v>PACKING</x:v>
      </x:c>
      <x:c r="Q156" t="str">
        <x:v>N</x:v>
      </x:c>
      <x:c r="R156" t="str">
        <x:v>15.0</x:v>
      </x:c>
      <x:c r="S156" t="str">
        <x:v>1104.64</x:v>
      </x:c>
      <x:c r="T156" t="str">
        <x:v>TV-501 not ok after reboiler duty loss</x:v>
      </x:c>
      <x:c r="U156" t="str">
        <x:v>C shift called for TV-501 reboiler hot medium valve, c2 in btm seen during reboiler duty loss. Foud stiction; stem sticky and pos err. cleaned and put back online. temp repair only, plan shutdown job. notif made by ops, maint attended same shift.</x:v>
      </x:c>
    </x:row>
    <x:row r="157" ht="15" hidden="0" customHeight="1">
      <x:c r="A157" t="str">
        <x:v>10450156</x:v>
      </x:c>
      <x:c r="B157" t="str">
        <x:v>40870156</x:v>
      </x:c>
      <x:c r="C157" t="str">
        <x:v>2022-01-16</x:v>
      </x:c>
      <x:c r="D157" t="str">
        <x:v>2022-01-17</x:v>
      </x:c>
      <x:c r="E157" t="str">
        <x:v>2022-01-24</x:v>
      </x:c>
      <x:c r="F157" t="str">
        <x:v>U400-DEETHANIZER-500</x:v>
      </x:c>
      <x:c r="G157" t="str">
        <x:v>TT-501B</x:v>
      </x:c>
      <x:c r="H157" t="str">
        <x:v>sensitive tray temperature tx</x:v>
      </x:c>
      <x:c r="I157" t="str">
        <x:v>instrument</x:v>
      </x:c>
      <x:c r="J157" t="str">
        <x:v>P3</x:v>
      </x:c>
      <x:c r="K157" t="str">
        <x:v>CLSD</x:v>
      </x:c>
      <x:c r="L157" t="str">
        <x:v>INST</x:v>
      </x:c>
      <x:c r="M157" t="str">
        <x:v>condenser_fouling</x:v>
      </x:c>
      <x:c r="N157" t="str">
        <x:v>loose wire</x:v>
      </x:c>
      <x:c r="O157" t="str">
        <x:v>SIGNAL</x:v>
      </x:c>
      <x:c r="P157" t="str">
        <x:v>ELEC</x:v>
      </x:c>
      <x:c r="Q157" t="str">
        <x:v>N</x:v>
      </x:c>
      <x:c r="R157" t="str">
        <x:v>11.6</x:v>
      </x:c>
      <x:c r="S157" t="str">
        <x:v>1959.2</x:v>
      </x:c>
      <x:c r="T157" t="str">
        <x:v>TT-501B loose wire chk &amp; revert</x:v>
      </x:c>
      <x:c r="U157" t="str">
        <x:v>A shift called for TT-501B sensitive tray temperature tx, cond not pullng seen during condnsr fouling. Foud loose wire; term loose. History shows same complain last mnth. calibrated, loop chekd with CCR. no leak at handover. notif made by ops, maint attended same shift.</x:v>
      </x:c>
    </x:row>
    <x:row r="158" ht="15" hidden="0" customHeight="1">
      <x:c r="A158" t="str">
        <x:v>10450157</x:v>
      </x:c>
      <x:c r="B158" t="str">
        <x:v>40870157</x:v>
      </x:c>
      <x:c r="C158" t="str">
        <x:v>2022-01-15</x:v>
      </x:c>
      <x:c r="D158" t="str">
        <x:v>2022-01-16</x:v>
      </x:c>
      <x:c r="E158" t="str">
        <x:v>2022-01-17</x:v>
      </x:c>
      <x:c r="F158" t="str">
        <x:v>U400-DEETHANIZER-500</x:v>
      </x:c>
      <x:c r="G158" t="str">
        <x:v>XV-501</x:v>
      </x:c>
      <x:c r="H158" t="str">
        <x:v>feed shutdown valve</x:v>
      </x:c>
      <x:c r="I158" t="str">
        <x:v>shutdown_valve</x:v>
      </x:c>
      <x:c r="J158" t="str">
        <x:v>P3</x:v>
      </x:c>
      <x:c r="K158" t="str">
        <x:v>COMP</x:v>
      </x:c>
      <x:c r="L158" t="str">
        <x:v>ANLYZR</x:v>
      </x:c>
      <x:c r="M158" t="str">
        <x:v>feed_composition_shift</x:v>
      </x:c>
      <x:c r="N158" t="str">
        <x:v>partial stroke fail</x:v>
      </x:c>
      <x:c r="O158" t="str">
        <x:v>PST_FAIL</x:v>
      </x:c>
      <x:c r="P158" t="str">
        <x:v>ACT</x:v>
      </x:c>
      <x:c r="Q158" t="str">
        <x:v>N</x:v>
      </x:c>
      <x:c r="R158" t="str">
        <x:v>14.4</x:v>
      </x:c>
      <x:c r="S158" t="str">
        <x:v>2197.42</x:v>
      </x:c>
      <x:c r="T158" t="str">
        <x:v>XV-501 partial stroke fail bad</x:v>
      </x:c>
      <x:c r="U158" t="str">
        <x:v>night called for XV-501 feed shutdown valve, anlyzr off seen during feed composition shift. Foud partial stroke fail; slow close/open. No spare in store at first, used refurb one from shop. flushed impulse/sample line. readng close to dcs after job. notif made by ops, maint attended same shift.</x:v>
      </x:c>
    </x:row>
    <x:row r="159" ht="15" hidden="0" customHeight="1">
      <x:c r="A159" t="str">
        <x:v>10450158</x:v>
      </x:c>
      <x:c r="B159" t="str">
        <x:v>40870158</x:v>
      </x:c>
      <x:c r="C159" t="str">
        <x:v>2022-01-17</x:v>
      </x:c>
      <x:c r="D159" t="str">
        <x:v>2022-01-18</x:v>
      </x:c>
      <x:c r="E159" t="str">
        <x:v>2022-01-19</x:v>
      </x:c>
      <x:c r="F159" t="str">
        <x:v>U400-DEETHANIZER-500</x:v>
      </x:c>
      <x:c r="G159" t="str">
        <x:v>V-501</x:v>
      </x:c>
      <x:c r="H159" t="str">
        <x:v>deethanizer reflux drum</x:v>
      </x:c>
      <x:c r="I159" t="str">
        <x:v>vessel</x:v>
      </x:c>
      <x:c r="J159" t="str">
        <x:v>P3</x:v>
      </x:c>
      <x:c r="K159" t="str">
        <x:v>TECO</x:v>
      </x:c>
      <x:c r="L159" t="str">
        <x:v>INST</x:v>
      </x:c>
      <x:c r="M159" t="str">
        <x:v>feed_temperature_ramp</x:v>
      </x:c>
      <x:c r="N159" t="str">
        <x:v>pressure erratic</x:v>
      </x:c>
      <x:c r="O159" t="str">
        <x:v>PRESS_SWING</x:v>
      </x:c>
      <x:c r="P159" t="str">
        <x:v>CTRL</x:v>
      </x:c>
      <x:c r="Q159" t="str">
        <x:v>N</x:v>
      </x:c>
      <x:c r="R159" t="str">
        <x:v>12.2</x:v>
      </x:c>
      <x:c r="S159" t="str">
        <x:v>625.15</x:v>
      </x:c>
      <x:c r="T159" t="str">
        <x:v>V-501 not ok after feed temperature ramp</x:v>
      </x:c>
      <x:c r="U159" t="str">
        <x:v>days called for V-501 deethanizer reflux drum, spec off seen during feed temperature ramp. Foud press erratic; pv/pic issue. swapped to standby and repaired. still little hunting but acceptable. notif made by ops, maint attended same shift.</x:v>
      </x:c>
    </x:row>
    <x:row r="160" ht="15" hidden="0" customHeight="1">
      <x:c r="A160" t="str">
        <x:v>10450159</x:v>
      </x:c>
      <x:c r="B160" t="str">
        <x:v>40870159</x:v>
      </x:c>
      <x:c r="C160" t="str">
        <x:v>2022-01-22</x:v>
      </x:c>
      <x:c r="D160" t="str">
        <x:v>2022-01-22</x:v>
      </x:c>
      <x:c r="E160" t="str">
        <x:v>2022-01-22</x:v>
      </x:c>
      <x:c r="F160" t="str">
        <x:v>U400-DEETHANIZER-500</x:v>
      </x:c>
      <x:c r="G160" t="str">
        <x:v>FT-502</x:v>
      </x:c>
      <x:c r="H160" t="str">
        <x:v>reflux flow transmitter</x:v>
      </x:c>
      <x:c r="I160" t="str">
        <x:v>instrument</x:v>
      </x:c>
      <x:c r="J160" t="str">
        <x:v>P2</x:v>
      </x:c>
      <x:c r="K160" t="str">
        <x:v>COMP</x:v>
      </x:c>
      <x:c r="L160" t="str">
        <x:v>ANLYZR</x:v>
      </x:c>
      <x:c r="M160" t="str">
        <x:v>reflux_pump_degradation</x:v>
      </x:c>
      <x:c r="N160" t="str">
        <x:v>bad reading</x:v>
      </x:c>
      <x:c r="O160" t="str">
        <x:v>DRIFT</x:v>
      </x:c>
      <x:c r="P160" t="str">
        <x:v>CAL</x:v>
      </x:c>
      <x:c r="Q160" t="str">
        <x:v>Y</x:v>
      </x:c>
      <x:c r="R160" t="str">
        <x:v>16.9</x:v>
      </x:c>
      <x:c r="S160" t="str">
        <x:v>6214.52</x:v>
      </x:c>
      <x:c r="T160" t="str">
        <x:v>FT-502 bad reading again, prod upset</x:v>
      </x:c>
      <x:c r="U160" t="str">
        <x:v>A shift called for FT-502 rflx flow transmitter, pump vib seen during rflx pump degradation. Foud bad reading; needs calib. History shows same complain last mnth. calibrated, loop chekd with CCR. still little hunting but acceptable. notif made by ops, maint attended same shift.</x:v>
      </x:c>
    </x:row>
    <x:row r="161" ht="15" hidden="0" customHeight="1">
      <x:c r="A161" t="str">
        <x:v>10450160</x:v>
      </x:c>
      <x:c r="B161" t="str">
        <x:v>40870160</x:v>
      </x:c>
      <x:c r="C161" t="str">
        <x:v>2022-01-24</x:v>
      </x:c>
      <x:c r="D161" t="str">
        <x:v>2022-01-26</x:v>
      </x:c>
      <x:c r="E161" t="str">
        <x:v>2022-01-27</x:v>
      </x:c>
      <x:c r="F161" t="str">
        <x:v>U400-DEETHANIZER-500</x:v>
      </x:c>
      <x:c r="G161" t="str">
        <x:v>PT-501</x:v>
      </x:c>
      <x:c r="H161" t="str">
        <x:v>column overhead pressure tx</x:v>
      </x:c>
      <x:c r="I161" t="str">
        <x:v>instrument</x:v>
      </x:c>
      <x:c r="J161" t="str">
        <x:v>P4</x:v>
      </x:c>
      <x:c r="K161" t="str">
        <x:v>CLSD</x:v>
      </x:c>
      <x:c r="L161" t="str">
        <x:v>INST</x:v>
      </x:c>
      <x:c r="M161" t="str">
        <x:v>condenser_fouling</x:v>
      </x:c>
      <x:c r="N161" t="str">
        <x:v>impulse plugged</x:v>
      </x:c>
      <x:c r="O161" t="str">
        <x:v>PLUG</x:v>
      </x:c>
      <x:c r="P161" t="str">
        <x:v>PROCESS</x:v>
      </x:c>
      <x:c r="Q161" t="str">
        <x:v>N</x:v>
      </x:c>
      <x:c r="R161" t="str">
        <x:v>17.8</x:v>
      </x:c>
      <x:c r="S161" t="str">
        <x:v>1518.21</x:v>
      </x:c>
      <x:c r="T161" t="str">
        <x:v>PT-501 not ok after condenser fouling</x:v>
      </x:c>
      <x:c r="U161" t="str">
        <x:v>B shift called for PT-501 column overhead pressure tx, drum temp hi seen during condenser fouling. Foud impulse plugged; tap/line dirty. flushed impulse/sample line. unit stable now. notif made by ops, maint attended same shift.</x:v>
      </x:c>
    </x:row>
    <x:row r="162" ht="15" hidden="0" customHeight="1">
      <x:c r="A162" t="str">
        <x:v>10450161</x:v>
      </x:c>
      <x:c r="B162" t="str">
        <x:v>40870161</x:v>
      </x:c>
      <x:c r="C162" t="str">
        <x:v>2022-01-25</x:v>
      </x:c>
      <x:c r="D162" t="str">
        <x:v>2022-01-27</x:v>
      </x:c>
      <x:c r="E162" t="str">
        <x:v>2022-01-28</x:v>
      </x:c>
      <x:c r="F162" t="str">
        <x:v>U400-DEETHANIZER-500</x:v>
      </x:c>
      <x:c r="G162" t="str">
        <x:v>E-502</x:v>
      </x:c>
      <x:c r="H162" t="str">
        <x:v>deethanizer overhead condenser</x:v>
      </x:c>
      <x:c r="I162" t="str">
        <x:v>condenser</x:v>
      </x:c>
      <x:c r="J162" t="str">
        <x:v>P2</x:v>
      </x:c>
      <x:c r="K162" t="str">
        <x:v>TECO</x:v>
      </x:c>
      <x:c r="L162" t="str">
        <x:v>VALVE</x:v>
      </x:c>
      <x:c r="M162" t="str">
        <x:v>normal_wear</x:v>
      </x:c>
      <x:c r="N162" t="str">
        <x:v>tube leak sus</x:v>
      </x:c>
      <x:c r="O162" t="str">
        <x:v>LEAK</x:v>
      </x:c>
      <x:c r="P162" t="str">
        <x:v>TUBE</x:v>
      </x:c>
      <x:c r="Q162" t="str">
        <x:v>Y</x:v>
      </x:c>
      <x:c r="R162" t="str">
        <x:v>23.2</x:v>
      </x:c>
      <x:c r="S162" t="str">
        <x:v>3935.85</x:v>
      </x:c>
      <x:c r="T162" t="str">
        <x:v>chk E-502 - tube leak sus frm ops</x:v>
      </x:c>
      <x:c r="U162" t="str">
        <x:v>night called for E-502 deethanizer overhead condenser, noise seen during normal wear. Foud tube leak sus; hydrotest reqd. Line was hot so job done slow and with ops standing by. reset trip and monitored for 2 hrs. temp repair only, plan shutdown job. notif made by ops, maint attended same shift.</x:v>
      </x:c>
    </x:row>
    <x:row r="163" ht="15" hidden="0" customHeight="1">
      <x:c r="A163" t="str">
        <x:v>10450162</x:v>
      </x:c>
      <x:c r="B163" t="str">
        <x:v>40870162</x:v>
      </x:c>
      <x:c r="C163" t="str">
        <x:v>2022-01-22</x:v>
      </x:c>
      <x:c r="D163" t="str">
        <x:v>2022-01-22</x:v>
      </x:c>
      <x:c r="E163" t="str">
        <x:v>2022-01-23</x:v>
      </x:c>
      <x:c r="F163" t="str">
        <x:v>U400-DEETHANIZER-500</x:v>
      </x:c>
      <x:c r="G163" t="str">
        <x:v>FV-501</x:v>
      </x:c>
      <x:c r="H163" t="str">
        <x:v>feed flow control valve</x:v>
      </x:c>
      <x:c r="I163" t="str">
        <x:v>control_valve</x:v>
      </x:c>
      <x:c r="J163" t="str">
        <x:v>P3</x:v>
      </x:c>
      <x:c r="K163" t="str">
        <x:v>TECO</x:v>
      </x:c>
      <x:c r="L163" t="str">
        <x:v>ANLYZR</x:v>
      </x:c>
      <x:c r="M163" t="str">
        <x:v>reboiler_duty_loss</x:v>
      </x:c>
      <x:c r="N163" t="str">
        <x:v>hunting loop</x:v>
      </x:c>
      <x:c r="O163" t="str">
        <x:v>CTRL_OSC</x:v>
      </x:c>
      <x:c r="P163" t="str">
        <x:v>TUNE</x:v>
      </x:c>
      <x:c r="Q163" t="str">
        <x:v>N</x:v>
      </x:c>
      <x:c r="R163" t="str">
        <x:v>10.5</x:v>
      </x:c>
      <x:c r="S163" t="str">
        <x:v>5659.33</x:v>
      </x:c>
      <x:c r="T163" t="str">
        <x:v>FV-501 not ok after reboiler duty loss</x:v>
      </x:c>
      <x:c r="U163" t="str">
        <x:v>A shift called for FV-501 feed flow control valve, low heat seen during reboiler duty loss. Foud hunting loop; bad response after upset. History shows same complain last mnth. opened strainer, cleaned black sludge. no leak at handover. notif made by ops, maint attended same shift.</x:v>
      </x:c>
    </x:row>
    <x:row r="164" ht="15" hidden="0" customHeight="1">
      <x:c r="A164" t="str">
        <x:v>10450163</x:v>
      </x:c>
      <x:c r="B164" t="str">
        <x:v>40870163</x:v>
      </x:c>
      <x:c r="C164" t="str">
        <x:v>2022-01-26</x:v>
      </x:c>
      <x:c r="D164" t="str">
        <x:v>2022-01-27</x:v>
      </x:c>
      <x:c r="E164" t="str">
        <x:v>2022-01-30</x:v>
      </x:c>
      <x:c r="F164" t="str">
        <x:v>U400-DEETHANIZER-500</x:v>
      </x:c>
      <x:c r="G164" t="str">
        <x:v>PV-501</x:v>
      </x:c>
      <x:c r="H164" t="str">
        <x:v>column pressure control valve</x:v>
      </x:c>
      <x:c r="I164" t="str">
        <x:v>control_valve</x:v>
      </x:c>
      <x:c r="J164" t="str">
        <x:v>P4</x:v>
      </x:c>
      <x:c r="K164" t="str">
        <x:v>TECO</x:v>
      </x:c>
      <x:c r="L164" t="str">
        <x:v>INST</x:v>
      </x:c>
      <x:c r="M164" t="str">
        <x:v>pressure_control_fault</x:v>
      </x:c>
      <x:c r="N164" t="str">
        <x:v>passing</x:v>
      </x:c>
      <x:c r="O164" t="str">
        <x:v>LEAK_BY</x:v>
      </x:c>
      <x:c r="P164" t="str">
        <x:v>SEAT</x:v>
      </x:c>
      <x:c r="Q164" t="str">
        <x:v>N</x:v>
      </x:c>
      <x:c r="R164" t="str">
        <x:v>4.8</x:v>
      </x:c>
      <x:c r="S164" t="str">
        <x:v>4722.62</x:v>
      </x:c>
      <x:c r="T164" t="str">
        <x:v>PV-501 passing chk &amp; revert</x:v>
      </x:c>
      <x:c r="U164" t="str">
        <x:v>night called for PV-501 column press control valve, pv not movng seen during press control fault. Foud passing; seat leak by. changed gasket and boxed up. readng close to dcs after job. notif made by ops, maint attended same shift.</x:v>
      </x:c>
    </x:row>
    <x:row r="165" ht="15" hidden="0" customHeight="1">
      <x:c r="A165" t="str">
        <x:v>10450164</x:v>
      </x:c>
      <x:c r="B165" t="str">
        <x:v>40870164</x:v>
      </x:c>
      <x:c r="C165" t="str">
        <x:v>2022-01-27</x:v>
      </x:c>
      <x:c r="D165" t="str">
        <x:v>2022-01-29</x:v>
      </x:c>
      <x:c r="E165" t="str">
        <x:v>2022-01-30</x:v>
      </x:c>
      <x:c r="F165" t="str">
        <x:v>U400-DEETHANIZER-500</x:v>
      </x:c>
      <x:c r="G165" t="str">
        <x:v>P-501A</x:v>
      </x:c>
      <x:c r="H165" t="str">
        <x:v>reflux pump A</x:v>
      </x:c>
      <x:c r="I165" t="str">
        <x:v>pump</x:v>
      </x:c>
      <x:c r="J165" t="str">
        <x:v>P4</x:v>
      </x:c>
      <x:c r="K165" t="str">
        <x:v>TECO</x:v>
      </x:c>
      <x:c r="L165" t="str">
        <x:v>MECH</x:v>
      </x:c>
      <x:c r="M165" t="str">
        <x:v>reflux_pump_degradation</x:v>
      </x:c>
      <x:c r="N165" t="str">
        <x:v>vib high</x:v>
      </x:c>
      <x:c r="O165" t="str">
        <x:v>VIB</x:v>
      </x:c>
      <x:c r="P165" t="str">
        <x:v>ALIGN</x:v>
      </x:c>
      <x:c r="Q165" t="str">
        <x:v>N</x:v>
      </x:c>
      <x:c r="R165" t="str">
        <x:v>9.3</x:v>
      </x:c>
      <x:c r="S165" t="str">
        <x:v>10103.44</x:v>
      </x:c>
      <x:c r="T165" t="str">
        <x:v>P-501A not ok after reflux pump degradation</x:v>
      </x:c>
      <x:c r="U165" t="str">
        <x:v>days called for P-501A reflux pump A, low reflux seen during reflux pump degradation. Foud vib high; coupling align or cavitation. History shows same complain last mnth. swapped to standby and repaired. readng close to dcs after job. notif made by ops, maint attended same shift.</x:v>
      </x:c>
    </x:row>
    <x:row r="166" ht="15" hidden="0" customHeight="1">
      <x:c r="A166" t="str">
        <x:v>10450165</x:v>
      </x:c>
      <x:c r="B166" t="str">
        <x:v>40870165</x:v>
      </x:c>
      <x:c r="C166" t="str">
        <x:v>2022-01-26</x:v>
      </x:c>
      <x:c r="D166" t="str">
        <x:v>2022-01-27</x:v>
      </x:c>
      <x:c r="E166" t="str">
        <x:v>2022-01-27</x:v>
      </x:c>
      <x:c r="F166" t="str">
        <x:v>U400-DEETHANIZER-500</x:v>
      </x:c>
      <x:c r="G166" t="str">
        <x:v>P-502A</x:v>
      </x:c>
      <x:c r="H166" t="str">
        <x:v>bottoms pump A</x:v>
      </x:c>
      <x:c r="I166" t="str">
        <x:v>pump</x:v>
      </x:c>
      <x:c r="J166" t="str">
        <x:v>P3</x:v>
      </x:c>
      <x:c r="K166" t="str">
        <x:v>COMP</x:v>
      </x:c>
      <x:c r="L166" t="str">
        <x:v>MECH</x:v>
      </x:c>
      <x:c r="M166" t="str">
        <x:v>pressure_control_fault</x:v>
      </x:c>
      <x:c r="N166" t="str">
        <x:v>seal leak</x:v>
      </x:c>
      <x:c r="O166" t="str">
        <x:v>MECH_SEAL</x:v>
      </x:c>
      <x:c r="P166" t="str">
        <x:v>SEAL</x:v>
      </x:c>
      <x:c r="Q166" t="str">
        <x:v>N</x:v>
      </x:c>
      <x:c r="R166" t="str">
        <x:v>6.4</x:v>
      </x:c>
      <x:c r="S166" t="str">
        <x:v>5561.73</x:v>
      </x:c>
      <x:c r="T166" t="str">
        <x:v>P-502A seal leak bad</x:v>
      </x:c>
      <x:c r="U166" t="str">
        <x:v>days called for P-502A bottoms pump A, pic unstable seen during pressure control fault. Foud seal leak; seal face worn / dry run signs. Tag plate dirty, confirmd by line up with panel. calibrated, loop checked with CCR. unit stable now. notif made by ops, maint attended same shift.</x:v>
      </x:c>
    </x:row>
    <x:row r="167" ht="15" hidden="0" customHeight="1">
      <x:c r="A167" t="str">
        <x:v>10450166</x:v>
      </x:c>
      <x:c r="B167" t="str">
        <x:v>40870166</x:v>
      </x:c>
      <x:c r="C167" t="str">
        <x:v>2022-01-31</x:v>
      </x:c>
      <x:c r="D167" t="str">
        <x:v>2022-02-01</x:v>
      </x:c>
      <x:c r="E167" t="str">
        <x:v>2022-02-01</x:v>
      </x:c>
      <x:c r="F167" t="str">
        <x:v>U400-DEETHANIZER-500</x:v>
      </x:c>
      <x:c r="G167" t="str">
        <x:v>E-501</x:v>
      </x:c>
      <x:c r="H167" t="str">
        <x:v>deethanizer reboiler</x:v>
      </x:c>
      <x:c r="I167" t="str">
        <x:v>reboiler</x:v>
      </x:c>
      <x:c r="J167" t="str">
        <x:v>P4</x:v>
      </x:c>
      <x:c r="K167" t="str">
        <x:v>COMP</x:v>
      </x:c>
      <x:c r="L167" t="str">
        <x:v>VALVE</x:v>
      </x:c>
      <x:c r="M167" t="str">
        <x:v>reboiler_duty_loss</x:v>
      </x:c>
      <x:c r="N167" t="str">
        <x:v>low duty</x:v>
      </x:c>
      <x:c r="O167" t="str">
        <x:v>DUTY_LOSS</x:v>
      </x:c>
      <x:c r="P167" t="str">
        <x:v>UTILITY</x:v>
      </x:c>
      <x:c r="Q167" t="str">
        <x:v>N</x:v>
      </x:c>
      <x:c r="R167" t="str">
        <x:v>5.2</x:v>
      </x:c>
      <x:c r="S167" t="str">
        <x:v>15970.94</x:v>
      </x:c>
      <x:c r="T167" t="str">
        <x:v>E-501 not ok after reboiler duty loss</x:v>
      </x:c>
      <x:c r="U167" t="str">
        <x:v>B shift called for E-501 deethanizer reboiler, c2 in btm seen during reboiler duty loss. Foud low duty; hm valve/strainer issue. History shows same complain last mnth. opened strainer, cleaned black sludge. no leak at handover. notif made by ops, maint attended same shift.</x:v>
      </x:c>
    </x:row>
    <x:row r="168" ht="15" hidden="0" customHeight="1">
      <x:c r="A168" t="str">
        <x:v>10450167</x:v>
      </x:c>
      <x:c r="B168" t="str">
        <x:v>40870167</x:v>
      </x:c>
      <x:c r="C168" t="str">
        <x:v>2022-01-29</x:v>
      </x:c>
      <x:c r="D168" t="str">
        <x:v>2022-01-30</x:v>
      </x:c>
      <x:c r="E168" t="str">
        <x:v>2022-02-01</x:v>
      </x:c>
      <x:c r="F168" t="str">
        <x:v>U400-DEETHANIZER-500</x:v>
      </x:c>
      <x:c r="G168" t="str">
        <x:v>TV-502</x:v>
      </x:c>
      <x:c r="H168" t="str">
        <x:v>condenser cooling valve</x:v>
      </x:c>
      <x:c r="I168" t="str">
        <x:v>control_valve</x:v>
      </x:c>
      <x:c r="J168" t="str">
        <x:v>P3</x:v>
      </x:c>
      <x:c r="K168" t="str">
        <x:v>TECO</x:v>
      </x:c>
      <x:c r="L168" t="str">
        <x:v>E&amp;I</x:v>
      </x:c>
      <x:c r="M168" t="str">
        <x:v>reflux_pump_degradation</x:v>
      </x:c>
      <x:c r="N168" t="str">
        <x:v>passing</x:v>
      </x:c>
      <x:c r="O168" t="str">
        <x:v>LEAK_BY</x:v>
      </x:c>
      <x:c r="P168" t="str">
        <x:v>SEAT</x:v>
      </x:c>
      <x:c r="Q168" t="str">
        <x:v>N</x:v>
      </x:c>
      <x:c r="R168" t="str">
        <x:v>12.6</x:v>
      </x:c>
      <x:c r="S168" t="str">
        <x:v>5284.06</x:v>
      </x:c>
      <x:c r="T168" t="str">
        <x:v>TV-502 low reflux, passing</x:v>
      </x:c>
      <x:c r="U168" t="str">
        <x:v>days called for TV-502 condenser cooling valve, disch press low seen during reflux pump degradation. Foud passing; seat leak by. opened strainer, cleaned black sludge. no leak at handover. notif made by ops, maint attended same shift.</x:v>
      </x:c>
    </x:row>
    <x:row r="169" ht="15" hidden="0" customHeight="1">
      <x:c r="A169" t="str">
        <x:v>10450168</x:v>
      </x:c>
      <x:c r="B169" t="str">
        <x:v>40870168</x:v>
      </x:c>
      <x:c r="C169" t="str">
        <x:v>2022-02-02</x:v>
      </x:c>
      <x:c r="D169" t="str">
        <x:v>2022-02-03</x:v>
      </x:c>
      <x:c r="E169" t="str">
        <x:v>2022-02-05</x:v>
      </x:c>
      <x:c r="F169" t="str">
        <x:v>U400-DEETHANIZER-500</x:v>
      </x:c>
      <x:c r="G169" t="str">
        <x:v>TV-501</x:v>
      </x:c>
      <x:c r="H169" t="str">
        <x:v>reboiler hot medium valve</x:v>
      </x:c>
      <x:c r="I169" t="str">
        <x:v>control_valve</x:v>
      </x:c>
      <x:c r="J169" t="str">
        <x:v>P3</x:v>
      </x:c>
      <x:c r="K169" t="str">
        <x:v>COMP</x:v>
      </x:c>
      <x:c r="L169" t="str">
        <x:v>OPS+MECH</x:v>
      </x:c>
      <x:c r="M169" t="str">
        <x:v>reboiler_duty_loss</x:v>
      </x:c>
      <x:c r="N169" t="str">
        <x:v>not stroking</x:v>
      </x:c>
      <x:c r="O169" t="str">
        <x:v>NO_TRAVEL</x:v>
      </x:c>
      <x:c r="P169" t="str">
        <x:v>ACT</x:v>
      </x:c>
      <x:c r="Q169" t="str">
        <x:v>N</x:v>
      </x:c>
      <x:c r="R169" t="str">
        <x:v>2.3</x:v>
      </x:c>
      <x:c r="S169" t="str">
        <x:v>6567.15</x:v>
      </x:c>
      <x:c r="T169" t="str">
        <x:v>TV-501 low heat, not stroking</x:v>
      </x:c>
      <x:c r="U169" t="str">
        <x:v>C shift called for TV-501 reboiler hot medium valve, c2 in btm seen during reboiler duty loss. Foud not stroking; actuator weak. stroke tested, response better. still little hunting but acceptable. notif made by ops, maint attended same shift.</x:v>
      </x:c>
    </x:row>
    <x:row r="170" ht="15" hidden="0" customHeight="1">
      <x:c r="A170" t="str">
        <x:v>10450169</x:v>
      </x:c>
      <x:c r="B170" t="str">
        <x:v>40870169</x:v>
      </x:c>
      <x:c r="C170" t="str">
        <x:v>2022-02-06</x:v>
      </x:c>
      <x:c r="D170" t="str">
        <x:v>2022-02-06</x:v>
      </x:c>
      <x:c r="E170" t="str">
        <x:v>2022-02-07</x:v>
      </x:c>
      <x:c r="F170" t="str">
        <x:v>U400-DEETHANIZER-500</x:v>
      </x:c>
      <x:c r="G170" t="str">
        <x:v>TT-501B</x:v>
      </x:c>
      <x:c r="H170" t="str">
        <x:v>sensitive tray temperature tx</x:v>
      </x:c>
      <x:c r="I170" t="str">
        <x:v>instrument</x:v>
      </x:c>
      <x:c r="J170" t="str">
        <x:v>P3</x:v>
      </x:c>
      <x:c r="K170" t="str">
        <x:v>COMP</x:v>
      </x:c>
      <x:c r="L170" t="str">
        <x:v>INST</x:v>
      </x:c>
      <x:c r="M170" t="str">
        <x:v>reboiler_duty_loss</x:v>
      </x:c>
      <x:c r="N170" t="str">
        <x:v>loose wire</x:v>
      </x:c>
      <x:c r="O170" t="str">
        <x:v>SIGNAL</x:v>
      </x:c>
      <x:c r="P170" t="str">
        <x:v>ELEC</x:v>
      </x:c>
      <x:c r="Q170" t="str">
        <x:v>N</x:v>
      </x:c>
      <x:c r="R170" t="str">
        <x:v>15.2</x:v>
      </x:c>
      <x:c r="S170" t="str">
        <x:v>5798.05</x:v>
      </x:c>
      <x:c r="T170" t="str">
        <x:v>TT-501B tray temp low, loose wire</x:v>
      </x:c>
      <x:c r="U170" t="str">
        <x:v>days called for TT-501B sensitive tray temperature tx, low heat seen during rebiler duty loss. Foud loose wire; term loose. replaced positioner tubing and retuned small. readng close to dcs after job. notif made by ops, maint attended same shift.</x:v>
      </x:c>
    </x:row>
    <x:row r="171" ht="15" hidden="0" customHeight="1">
      <x:c r="A171" t="str">
        <x:v>10450170</x:v>
      </x:c>
      <x:c r="B171" t="str">
        <x:v>40870170</x:v>
      </x:c>
      <x:c r="C171" t="str">
        <x:v>2022-02-06</x:v>
      </x:c>
      <x:c r="D171" t="str">
        <x:v>2022-02-06</x:v>
      </x:c>
      <x:c r="E171" t="str">
        <x:v>2022-02-07</x:v>
      </x:c>
      <x:c r="F171" t="str">
        <x:v>U400-DEETHANIZER-500</x:v>
      </x:c>
      <x:c r="G171" t="str">
        <x:v>E-501</x:v>
      </x:c>
      <x:c r="H171" t="str">
        <x:v>deethanizer reboiler</x:v>
      </x:c>
      <x:c r="I171" t="str">
        <x:v>reboiler</x:v>
      </x:c>
      <x:c r="J171" t="str">
        <x:v>P3</x:v>
      </x:c>
      <x:c r="K171" t="str">
        <x:v>TECO</x:v>
      </x:c>
      <x:c r="L171" t="str">
        <x:v>E&amp;I</x:v>
      </x:c>
      <x:c r="M171" t="str">
        <x:v>feed_temperature_ramp</x:v>
      </x:c>
      <x:c r="N171" t="str">
        <x:v>circ poor</x:v>
      </x:c>
      <x:c r="O171" t="str">
        <x:v>NO_FLOW</x:v>
      </x:c>
      <x:c r="P171" t="str">
        <x:v>PLUG</x:v>
      </x:c>
      <x:c r="Q171" t="str">
        <x:v>N</x:v>
      </x:c>
      <x:c r="R171" t="str">
        <x:v>8.2</x:v>
      </x:c>
      <x:c r="S171" t="str">
        <x:v>1151.94</x:v>
      </x:c>
      <x:c r="T171" t="str">
        <x:v>chk E-501 - circ poor frm ops</x:v>
      </x:c>
      <x:c r="U171" t="str">
        <x:v>B shift called for E-501 deethanizer reboiler, spec off seen during feed temperature ramp. Foud circ poor; blocked inlet screen. swapped to standby and repaired. need watch next feed swing. notif made by ops, maint attended same shift.</x:v>
      </x:c>
    </x:row>
    <x:row r="172" ht="15" hidden="0" customHeight="1">
      <x:c r="A172" t="str">
        <x:v>10450171</x:v>
      </x:c>
      <x:c r="B172" t="str">
        <x:v>40870171</x:v>
      </x:c>
      <x:c r="C172" t="str">
        <x:v>2022-02-07</x:v>
      </x:c>
      <x:c r="D172" t="str">
        <x:v>2022-02-09</x:v>
      </x:c>
      <x:c r="E172" t="str">
        <x:v>2022-02-09</x:v>
      </x:c>
      <x:c r="F172" t="str">
        <x:v>U400-DEETHANIZER-500</x:v>
      </x:c>
      <x:c r="G172" t="str">
        <x:v>PV-501</x:v>
      </x:c>
      <x:c r="H172" t="str">
        <x:v>column pressure control valve</x:v>
      </x:c>
      <x:c r="I172" t="str">
        <x:v>control_valve</x:v>
      </x:c>
      <x:c r="J172" t="str">
        <x:v>P4</x:v>
      </x:c>
      <x:c r="K172" t="str">
        <x:v>CLSD</x:v>
      </x:c>
      <x:c r="L172" t="str">
        <x:v>OPS+INST</x:v>
      </x:c>
      <x:c r="M172" t="str">
        <x:v>feed_flow_step</x:v>
      </x:c>
      <x:c r="N172" t="str">
        <x:v>air leak</x:v>
      </x:c>
      <x:c r="O172" t="str">
        <x:v>AIR_LEAK</x:v>
      </x:c>
      <x:c r="P172" t="str">
        <x:v>TUBING</x:v>
      </x:c>
      <x:c r="Q172" t="str">
        <x:v>N</x:v>
      </x:c>
      <x:c r="R172" t="str">
        <x:v>6.5</x:v>
      </x:c>
      <x:c r="S172" t="str">
        <x:v>3837.6</x:v>
      </x:c>
      <x:c r="T172" t="str">
        <x:v>PV-501 air leak asap</x:v>
      </x:c>
      <x:c r="U172" t="str">
        <x:v>night called for PV-501 column pressure control valve, feed jump seen during feed flow step. Foud air leak; positioner supply drop. stroke tested, response better. temp repair only, plan shutdown job. notif made by ops, maint attended same shift.</x:v>
      </x:c>
    </x:row>
    <x:row r="173" ht="15" hidden="0" customHeight="1">
      <x:c r="A173" t="str">
        <x:v>10450172</x:v>
      </x:c>
      <x:c r="B173" t="str">
        <x:v>40870172</x:v>
      </x:c>
      <x:c r="C173" t="str">
        <x:v>2022-02-10</x:v>
      </x:c>
      <x:c r="D173" t="str">
        <x:v>2022-02-11</x:v>
      </x:c>
      <x:c r="E173" t="str">
        <x:v>2022-02-14</x:v>
      </x:c>
      <x:c r="F173" t="str">
        <x:v>U400-DEETHANIZER-500</x:v>
      </x:c>
      <x:c r="G173" t="str">
        <x:v>E-502</x:v>
      </x:c>
      <x:c r="H173" t="str">
        <x:v>deethanizer overhead condenser</x:v>
      </x:c>
      <x:c r="I173" t="str">
        <x:v>condenser</x:v>
      </x:c>
      <x:c r="J173" t="str">
        <x:v>P4</x:v>
      </x:c>
      <x:c r="K173" t="str">
        <x:v>CLSD</x:v>
      </x:c>
      <x:c r="L173" t="str">
        <x:v>ANLYZR</x:v>
      </x:c>
      <x:c r="M173" t="str">
        <x:v>feed_temperature_ramp</x:v>
      </x:c>
      <x:c r="N173" t="str">
        <x:v>tube leak sus</x:v>
      </x:c>
      <x:c r="O173" t="str">
        <x:v>LEAK</x:v>
      </x:c>
      <x:c r="P173" t="str">
        <x:v>TUBE</x:v>
      </x:c>
      <x:c r="Q173" t="str">
        <x:v>N</x:v>
      </x:c>
      <x:c r="R173" t="str">
        <x:v>13.3</x:v>
      </x:c>
      <x:c r="S173" t="str">
        <x:v>12959.46</x:v>
      </x:c>
      <x:c r="T173" t="str">
        <x:v>E-502 not ok after feed temperature ramp</x:v>
      </x:c>
      <x:c r="U173" t="str">
        <x:v>night called for E-502 deethanizer overhead condenser, feed temp high seen during feed temperature ramp. Foud tube leak sus; hydrotest reqd. Tag plate dirty, confirmd by line up with panel. calibrated, loop checked with CCR. no leak at handover. notif made by ops, maint attended same shift.</x:v>
      </x:c>
    </x:row>
    <x:row r="174" ht="15" hidden="0" customHeight="1">
      <x:c r="A174" t="str">
        <x:v>10450173</x:v>
      </x:c>
      <x:c r="B174" t="str">
        <x:v>40870173</x:v>
      </x:c>
      <x:c r="C174" t="str">
        <x:v>2022-02-12</x:v>
      </x:c>
      <x:c r="D174" t="str">
        <x:v>2022-02-13</x:v>
      </x:c>
      <x:c r="E174" t="str">
        <x:v>2022-02-14</x:v>
      </x:c>
      <x:c r="F174" t="str">
        <x:v>U400-DEETHANIZER-500</x:v>
      </x:c>
      <x:c r="G174" t="str">
        <x:v>TT-501B</x:v>
      </x:c>
      <x:c r="H174" t="str">
        <x:v>sensitive tray temperature tx</x:v>
      </x:c>
      <x:c r="I174" t="str">
        <x:v>instrument</x:v>
      </x:c>
      <x:c r="J174" t="str">
        <x:v>P3</x:v>
      </x:c>
      <x:c r="K174" t="str">
        <x:v>CLSD</x:v>
      </x:c>
      <x:c r="L174" t="str">
        <x:v>E&amp;I</x:v>
      </x:c>
      <x:c r="M174" t="str">
        <x:v>reboiler_duty_loss</x:v>
      </x:c>
      <x:c r="N174" t="str">
        <x:v>loose wire</x:v>
      </x:c>
      <x:c r="O174" t="str">
        <x:v>SIGNAL</x:v>
      </x:c>
      <x:c r="P174" t="str">
        <x:v>ELEC</x:v>
      </x:c>
      <x:c r="Q174" t="str">
        <x:v>N</x:v>
      </x:c>
      <x:c r="R174" t="str">
        <x:v>8.7</x:v>
      </x:c>
      <x:c r="S174" t="str">
        <x:v>6482.91</x:v>
      </x:c>
      <x:c r="T174" t="str">
        <x:v>TT-501B loose wire again, prod upset</x:v>
      </x:c>
      <x:c r="U174" t="str">
        <x:v>night called for TT-501B sensitive tray temperature tx, low heat seen during reboiler duty loss. Foud loose wire; term loose. Could not get permit first time waiting area gas test. reset trip and monitored for 2 hrs. no leak at handover. notif made by ops, maint attended same shift.</x:v>
      </x:c>
    </x:row>
    <x:row r="175" ht="15" hidden="0" customHeight="1">
      <x:c r="A175" t="str">
        <x:v>10450174</x:v>
      </x:c>
      <x:c r="B175" t="str">
        <x:v>40870174</x:v>
      </x:c>
      <x:c r="C175" t="str">
        <x:v>2022-02-09</x:v>
      </x:c>
      <x:c r="D175" t="str">
        <x:v>2022-02-11</x:v>
      </x:c>
      <x:c r="E175" t="str">
        <x:v>2022-02-12</x:v>
      </x:c>
      <x:c r="F175" t="str">
        <x:v>U400-DEETHANIZER-500</x:v>
      </x:c>
      <x:c r="G175" t="str">
        <x:v>AIT-502</x:v>
      </x:c>
      <x:c r="H175" t="str">
        <x:v>bottoms C3+ analyzer</x:v>
      </x:c>
      <x:c r="I175" t="str">
        <x:v>analyzer</x:v>
      </x:c>
      <x:c r="J175" t="str">
        <x:v>P1</x:v>
      </x:c>
      <x:c r="K175" t="str">
        <x:v>COMP</x:v>
      </x:c>
      <x:c r="L175" t="str">
        <x:v>INST</x:v>
      </x:c>
      <x:c r="M175" t="str">
        <x:v>feed_composition_shift</x:v>
      </x:c>
      <x:c r="N175" t="str">
        <x:v>condensate in sample</x:v>
      </x:c>
      <x:c r="O175" t="str">
        <x:v>LIQ_CARRY</x:v>
      </x:c>
      <x:c r="P175" t="str">
        <x:v>SAMPLE</x:v>
      </x:c>
      <x:c r="Q175" t="str">
        <x:v>N</x:v>
      </x:c>
      <x:c r="R175" t="str">
        <x:v>7.6</x:v>
      </x:c>
      <x:c r="S175" t="str">
        <x:v>5427.91</x:v>
      </x:c>
      <x:c r="T175" t="str">
        <x:v>AIT-502 not ok after feed composition shift</x:v>
      </x:c>
      <x:c r="U175" t="str">
        <x:v>night called for AIT-502 bottoms C3+ analyzer, anlyzr off seen during feed composition shift. Foud condensate in sample; knockout pot full. Line was hot so job done slow and with ops standing by. changed gasket and boxed up. unit stable now. notif made by ops, maint attended same shift.</x:v>
      </x:c>
    </x:row>
    <x:row r="176" ht="15" hidden="0" customHeight="1">
      <x:c r="A176" t="str">
        <x:v>10450175</x:v>
      </x:c>
      <x:c r="B176" t="str">
        <x:v>40870175</x:v>
      </x:c>
      <x:c r="C176" t="str">
        <x:v>2022-02-12</x:v>
      </x:c>
      <x:c r="D176" t="str">
        <x:v>2022-02-12</x:v>
      </x:c>
      <x:c r="E176" t="str">
        <x:v>2022-02-14</x:v>
      </x:c>
      <x:c r="F176" t="str">
        <x:v>U400-DEETHANIZER-500</x:v>
      </x:c>
      <x:c r="G176" t="str">
        <x:v>FT-502</x:v>
      </x:c>
      <x:c r="H176" t="str">
        <x:v>reflux flow transmitter</x:v>
      </x:c>
      <x:c r="I176" t="str">
        <x:v>instrument</x:v>
      </x:c>
      <x:c r="J176" t="str">
        <x:v>P2</x:v>
      </x:c>
      <x:c r="K176" t="str">
        <x:v>COMP</x:v>
      </x:c>
      <x:c r="L176" t="str">
        <x:v>INST</x:v>
      </x:c>
      <x:c r="M176" t="str">
        <x:v>reflux_pump_degradation</x:v>
      </x:c>
      <x:c r="N176" t="str">
        <x:v>impulse plugged</x:v>
      </x:c>
      <x:c r="O176" t="str">
        <x:v>PLUG</x:v>
      </x:c>
      <x:c r="P176" t="str">
        <x:v>PROCESS</x:v>
      </x:c>
      <x:c r="Q176" t="str">
        <x:v>Y</x:v>
      </x:c>
      <x:c r="R176" t="str">
        <x:v>10.2</x:v>
      </x:c>
      <x:c r="S176" t="str">
        <x:v>2818.87</x:v>
      </x:c>
      <x:c r="T176" t="str">
        <x:v>FT-502 impulse plugged noisy</x:v>
      </x:c>
      <x:c r="U176" t="str">
        <x:v>night called for FT-502 reflux flow transmitter, disch press low seen during reflux pump degradation. Foud impulse plugged; tap/line dirty. changed gasket and boxed up. ops says ok for now. notif made by ops, maint attended same shift.</x:v>
      </x:c>
    </x:row>
    <x:row r="177" ht="15" hidden="0" customHeight="1">
      <x:c r="A177" t="str">
        <x:v>10450176</x:v>
      </x:c>
      <x:c r="B177" t="str">
        <x:v>40870176</x:v>
      </x:c>
      <x:c r="C177" t="str">
        <x:v>2022-02-14</x:v>
      </x:c>
      <x:c r="D177" t="str">
        <x:v>2022-02-16</x:v>
      </x:c>
      <x:c r="E177" t="str">
        <x:v>2022-02-23</x:v>
      </x:c>
      <x:c r="F177" t="str">
        <x:v>U400-DEETHANIZER-500</x:v>
      </x:c>
      <x:c r="G177" t="str">
        <x:v>P-502B</x:v>
      </x:c>
      <x:c r="H177" t="str">
        <x:v>bottoms pump B</x:v>
      </x:c>
      <x:c r="I177" t="str">
        <x:v>pump</x:v>
      </x:c>
      <x:c r="J177" t="str">
        <x:v>P3</x:v>
      </x:c>
      <x:c r="K177" t="str">
        <x:v>COMP</x:v>
      </x:c>
      <x:c r="L177" t="str">
        <x:v>ROT</x:v>
      </x:c>
      <x:c r="M177" t="str">
        <x:v>valve_stiction</x:v>
      </x:c>
      <x:c r="N177" t="str">
        <x:v>bearing hot</x:v>
      </x:c>
      <x:c r="O177" t="str">
        <x:v>BRG</x:v>
      </x:c>
      <x:c r="P177" t="str">
        <x:v>WEAR</x:v>
      </x:c>
      <x:c r="Q177" t="str">
        <x:v>N</x:v>
      </x:c>
      <x:c r="R177" t="str">
        <x:v>14.7</x:v>
      </x:c>
      <x:c r="S177" t="str">
        <x:v>11567.25</x:v>
      </x:c>
      <x:c r="T177" t="str">
        <x:v>P-502B bearing hot again, prod upset</x:v>
      </x:c>
      <x:c r="U177" t="str">
        <x:v>B shift called for P-502B bottoms pump B, air leak seen during valve stiction. Foud bearing hot; brg rough, lube dark. calibrated, loop chekd with CCR. unit stable now. notif made by ops, maint attended same shift.</x:v>
      </x:c>
    </x:row>
    <x:row r="178" ht="15" hidden="0" customHeight="1">
      <x:c r="A178" t="str">
        <x:v>10450177</x:v>
      </x:c>
      <x:c r="B178" t="str">
        <x:v>40870177</x:v>
      </x:c>
      <x:c r="C178" t="str">
        <x:v>2022-02-14</x:v>
      </x:c>
      <x:c r="D178" t="str">
        <x:v>2022-02-16</x:v>
      </x:c>
      <x:c r="E178" t="str">
        <x:v>2022-02-19</x:v>
      </x:c>
      <x:c r="F178" t="str">
        <x:v>U400-DEETHANIZER-500</x:v>
      </x:c>
      <x:c r="G178" t="str">
        <x:v>FV-502</x:v>
      </x:c>
      <x:c r="H178" t="str">
        <x:v>reflux flow control valve</x:v>
      </x:c>
      <x:c r="I178" t="str">
        <x:v>control_valve</x:v>
      </x:c>
      <x:c r="J178" t="str">
        <x:v>P3</x:v>
      </x:c>
      <x:c r="K178" t="str">
        <x:v>TECO</x:v>
      </x:c>
      <x:c r="L178" t="str">
        <x:v>OPS+INST</x:v>
      </x:c>
      <x:c r="M178" t="str">
        <x:v>reflux_pump_degradation</x:v>
      </x:c>
      <x:c r="N178" t="str">
        <x:v>air leak</x:v>
      </x:c>
      <x:c r="O178" t="str">
        <x:v>AIR_LEAK</x:v>
      </x:c>
      <x:c r="P178" t="str">
        <x:v>TUBING</x:v>
      </x:c>
      <x:c r="Q178" t="str">
        <x:v>N</x:v>
      </x:c>
      <x:c r="R178" t="str">
        <x:v>12.8</x:v>
      </x:c>
      <x:c r="S178" t="str">
        <x:v>1935.66</x:v>
      </x:c>
      <x:c r="T178" t="str">
        <x:v>FV-502 air leak again, prod upset</x:v>
      </x:c>
      <x:c r="U178" t="str">
        <x:v>A shift called for FV-502 reflux flow control valve, min flow hot seen during reflux pump degradation. Foud air leak; positioner supply drop. Could not get permit first time waiting area gas test. changed gasket and boxed up. unit stable now. notif made by ops, maint attended same shift.</x:v>
      </x:c>
    </x:row>
    <x:row r="179" ht="15" hidden="0" customHeight="1">
      <x:c r="A179" t="str">
        <x:v>10450178</x:v>
      </x:c>
      <x:c r="B179" t="str">
        <x:v>40870178</x:v>
      </x:c>
      <x:c r="C179" t="str">
        <x:v>2022-02-14</x:v>
      </x:c>
      <x:c r="D179" t="str">
        <x:v>2022-02-15</x:v>
      </x:c>
      <x:c r="E179" t="str">
        <x:v>2022-02-22</x:v>
      </x:c>
      <x:c r="F179" t="str">
        <x:v>U400-DEETHANIZER-500</x:v>
      </x:c>
      <x:c r="G179" t="str">
        <x:v>P-501A</x:v>
      </x:c>
      <x:c r="H179" t="str">
        <x:v>reflux pump A</x:v>
      </x:c>
      <x:c r="I179" t="str">
        <x:v>pump</x:v>
      </x:c>
      <x:c r="J179" t="str">
        <x:v>P3</x:v>
      </x:c>
      <x:c r="K179" t="str">
        <x:v>CLSD</x:v>
      </x:c>
      <x:c r="L179" t="str">
        <x:v>ROT</x:v>
      </x:c>
      <x:c r="M179" t="str">
        <x:v>reflux_pump_degradation</x:v>
      </x:c>
      <x:c r="N179" t="str">
        <x:v>seal leak</x:v>
      </x:c>
      <x:c r="O179" t="str">
        <x:v>MECH_SEAL</x:v>
      </x:c>
      <x:c r="P179" t="str">
        <x:v>SEAL</x:v>
      </x:c>
      <x:c r="Q179" t="str">
        <x:v>N</x:v>
      </x:c>
      <x:c r="R179" t="str">
        <x:v>4.4</x:v>
      </x:c>
      <x:c r="S179" t="str">
        <x:v>1594.29</x:v>
      </x:c>
      <x:c r="T179" t="str">
        <x:v>P-501A seal leak again, prod upset</x:v>
      </x:c>
      <x:c r="U179" t="str">
        <x:v>A shift called for P-501A rflx pump A, min flow hot seen during rflx pump degradation. Foud seal leak; seal face worn / dry run signs. replaced positioner tubing and retuned small. no leak at handover. notif made by ops, maint attended same shift.</x:v>
      </x:c>
    </x:row>
    <x:row r="180" ht="15" hidden="0" customHeight="1">
      <x:c r="A180" t="str">
        <x:v>10450179</x:v>
      </x:c>
      <x:c r="B180" t="str">
        <x:v>40870179</x:v>
      </x:c>
      <x:c r="C180" t="str">
        <x:v>2022-02-17</x:v>
      </x:c>
      <x:c r="D180" t="str">
        <x:v>2022-02-19</x:v>
      </x:c>
      <x:c r="E180" t="str">
        <x:v>2022-02-21</x:v>
      </x:c>
      <x:c r="F180" t="str">
        <x:v>U400-DEETHANIZER-500</x:v>
      </x:c>
      <x:c r="G180" t="str">
        <x:v>TT-501B</x:v>
      </x:c>
      <x:c r="H180" t="str">
        <x:v>sensitive tray temperature tx</x:v>
      </x:c>
      <x:c r="I180" t="str">
        <x:v>instrument</x:v>
      </x:c>
      <x:c r="J180" t="str">
        <x:v>P3</x:v>
      </x:c>
      <x:c r="K180" t="str">
        <x:v>TECO</x:v>
      </x:c>
      <x:c r="L180" t="str">
        <x:v>OPS+INST</x:v>
      </x:c>
      <x:c r="M180" t="str">
        <x:v>feed_temperature_ramp</x:v>
      </x:c>
      <x:c r="N180" t="str">
        <x:v>loose wire</x:v>
      </x:c>
      <x:c r="O180" t="str">
        <x:v>SIGNAL</x:v>
      </x:c>
      <x:c r="P180" t="str">
        <x:v>ELEC</x:v>
      </x:c>
      <x:c r="Q180" t="str">
        <x:v>N</x:v>
      </x:c>
      <x:c r="R180" t="str">
        <x:v>17.8</x:v>
      </x:c>
      <x:c r="S180" t="str">
        <x:v>6056.75</x:v>
      </x:c>
      <x:c r="T180" t="str">
        <x:v>TT-501B rb duty up, loose wire</x:v>
      </x:c>
      <x:c r="U180" t="str">
        <x:v>night called for TT-501B sensitive tray temperature tx, tray temp drift seen during feed temperature ramp. Foud loose wire; term loose. Could not get permit first time waiting area gas test. replaced positioner tubing and retuned small. still little hunting but acceptable. notif made by ops, maint attended same shift.</x:v>
      </x:c>
    </x:row>
    <x:row r="181" ht="15" hidden="0" customHeight="1">
      <x:c r="A181" t="str">
        <x:v>10450180</x:v>
      </x:c>
      <x:c r="B181" t="str">
        <x:v>40870180</x:v>
      </x:c>
      <x:c r="C181" t="str">
        <x:v>2022-02-19</x:v>
      </x:c>
      <x:c r="D181" t="str">
        <x:v>2022-02-20</x:v>
      </x:c>
      <x:c r="E181" t="str">
        <x:v>2022-02-21</x:v>
      </x:c>
      <x:c r="F181" t="str">
        <x:v>U400-DEETHANIZER-500</x:v>
      </x:c>
      <x:c r="G181" t="str">
        <x:v>FV-501</x:v>
      </x:c>
      <x:c r="H181" t="str">
        <x:v>feed flow control valve</x:v>
      </x:c>
      <x:c r="I181" t="str">
        <x:v>control_valve</x:v>
      </x:c>
      <x:c r="J181" t="str">
        <x:v>P3</x:v>
      </x:c>
      <x:c r="K181" t="str">
        <x:v>TECO</x:v>
      </x:c>
      <x:c r="L181" t="str">
        <x:v>ANLYZR</x:v>
      </x:c>
      <x:c r="M181" t="str">
        <x:v>valve_stiction</x:v>
      </x:c>
      <x:c r="N181" t="str">
        <x:v>not stroking</x:v>
      </x:c>
      <x:c r="O181" t="str">
        <x:v>NO_TRAVEL</x:v>
      </x:c>
      <x:c r="P181" t="str">
        <x:v>ACT</x:v>
      </x:c>
      <x:c r="Q181" t="str">
        <x:v>N</x:v>
      </x:c>
      <x:c r="R181" t="str">
        <x:v>12.6</x:v>
      </x:c>
      <x:c r="S181" t="str">
        <x:v>2353.98</x:v>
      </x:c>
      <x:c r="T181" t="str">
        <x:v>chk FV-501 - not stroking frm ops</x:v>
      </x:c>
      <x:c r="U181" t="str">
        <x:v>night called for FV-501 feed flow control valve, air leak seen during valve stiction. Foud not stroking; actuator weak. flushed impulse/sample line. still little hunting but acceptable. notif made by ops, maint attended same shift.</x:v>
      </x:c>
    </x:row>
    <x:row r="182" ht="15" hidden="0" customHeight="1">
      <x:c r="A182" t="str">
        <x:v>10450181</x:v>
      </x:c>
      <x:c r="B182" t="str">
        <x:v>40870181</x:v>
      </x:c>
      <x:c r="C182" t="str">
        <x:v>2022-02-19</x:v>
      </x:c>
      <x:c r="D182" t="str">
        <x:v>2022-02-19</x:v>
      </x:c>
      <x:c r="E182" t="str">
        <x:v>2022-02-21</x:v>
      </x:c>
      <x:c r="F182" t="str">
        <x:v>U400-DEETHANIZER-500</x:v>
      </x:c>
      <x:c r="G182" t="str">
        <x:v>LT-501</x:v>
      </x:c>
      <x:c r="H182" t="str">
        <x:v>reflux drum level tx</x:v>
      </x:c>
      <x:c r="I182" t="str">
        <x:v>instrument</x:v>
      </x:c>
      <x:c r="J182" t="str">
        <x:v>P3</x:v>
      </x:c>
      <x:c r="K182" t="str">
        <x:v>COMP</x:v>
      </x:c>
      <x:c r="L182" t="str">
        <x:v>INST</x:v>
      </x:c>
      <x:c r="M182" t="str">
        <x:v>reflux_pump_degradation</x:v>
      </x:c>
      <x:c r="N182" t="str">
        <x:v>impulse plugged</x:v>
      </x:c>
      <x:c r="O182" t="str">
        <x:v>PLUG</x:v>
      </x:c>
      <x:c r="P182" t="str">
        <x:v>PROCESS</x:v>
      </x:c>
      <x:c r="Q182" t="str">
        <x:v>N</x:v>
      </x:c>
      <x:c r="R182" t="str">
        <x:v>11.4</x:v>
      </x:c>
      <x:c r="S182" t="str">
        <x:v>3438.51</x:v>
      </x:c>
      <x:c r="T182" t="str">
        <x:v>LT-501 low reflux, impulse plugged</x:v>
      </x:c>
      <x:c r="U182" t="str">
        <x:v>B shift called for LT-501 reflux drum level tx, seal weep seen during reflux pump degradation. Foud impulse plugged; tap/line dirty. No spare in store at first, used refurb one from shop. opened strainer, cleaned black sludge. readng close to dcs after job. notif made by ops, maint attended same shift.</x:v>
      </x:c>
    </x:row>
    <x:row r="183" ht="15" hidden="0" customHeight="1">
      <x:c r="A183" t="str">
        <x:v>10450182</x:v>
      </x:c>
      <x:c r="B183" t="str">
        <x:v>40870182</x:v>
      </x:c>
      <x:c r="C183" t="str">
        <x:v>2022-02-22</x:v>
      </x:c>
      <x:c r="D183" t="str">
        <x:v>2022-02-23</x:v>
      </x:c>
      <x:c r="E183" t="str">
        <x:v>2022-02-26</x:v>
      </x:c>
      <x:c r="F183" t="str">
        <x:v>U400-DEETHANIZER-500</x:v>
      </x:c>
      <x:c r="G183" t="str">
        <x:v>T-501</x:v>
      </x:c>
      <x:c r="H183" t="str">
        <x:v>deethanizer column</x:v>
      </x:c>
      <x:c r="I183" t="str">
        <x:v>column</x:v>
      </x:c>
      <x:c r="J183" t="str">
        <x:v>P2</x:v>
      </x:c>
      <x:c r="K183" t="str">
        <x:v>TECO</x:v>
      </x:c>
      <x:c r="L183" t="str">
        <x:v>INST</x:v>
      </x:c>
      <x:c r="M183" t="str">
        <x:v>feed_composition_shift</x:v>
      </x:c>
      <x:c r="N183" t="str">
        <x:v>level unstable</x:v>
      </x:c>
      <x:c r="O183" t="str">
        <x:v>LVL_SWING</x:v>
      </x:c>
      <x:c r="P183" t="str">
        <x:v>CTRL</x:v>
      </x:c>
      <x:c r="Q183" t="str">
        <x:v>N</x:v>
      </x:c>
      <x:c r="R183" t="str">
        <x:v>4.2</x:v>
      </x:c>
      <x:c r="S183" t="str">
        <x:v>3641.88</x:v>
      </x:c>
      <x:c r="T183" t="str">
        <x:v>T-501 not ok after feed composition shift</x:v>
      </x:c>
      <x:c r="U183" t="str">
        <x:v>night called for T-501 deethanizer column, c3 in feed hi seen during feed composition shift. Foud level unstable; sump level swing. swapped to standby and repaired. temp repair only, plan shutdown job. notif made by ops, maint attended same shift.</x:v>
      </x:c>
    </x:row>
    <x:row r="184" ht="15" hidden="0" customHeight="1">
      <x:c r="A184" t="str">
        <x:v>10450183</x:v>
      </x:c>
      <x:c r="B184" t="str">
        <x:v>40870183</x:v>
      </x:c>
      <x:c r="C184" t="str">
        <x:v>2022-02-26</x:v>
      </x:c>
      <x:c r="D184" t="str">
        <x:v>2022-02-26</x:v>
      </x:c>
      <x:c r="E184" t="str">
        <x:v>2022-03-03</x:v>
      </x:c>
      <x:c r="F184" t="str">
        <x:v>U400-DEETHANIZER-500</x:v>
      </x:c>
      <x:c r="G184" t="str">
        <x:v>LV-502</x:v>
      </x:c>
      <x:c r="H184" t="str">
        <x:v>bottoms level valve</x:v>
      </x:c>
      <x:c r="I184" t="str">
        <x:v>control_valve</x:v>
      </x:c>
      <x:c r="J184" t="str">
        <x:v>P3</x:v>
      </x:c>
      <x:c r="K184" t="str">
        <x:v>TECO</x:v>
      </x:c>
      <x:c r="L184" t="str">
        <x:v>ROT</x:v>
      </x:c>
      <x:c r="M184" t="str">
        <x:v>valve_stiction</x:v>
      </x:c>
      <x:c r="N184" t="str">
        <x:v>hunting loop</x:v>
      </x:c>
      <x:c r="O184" t="str">
        <x:v>CTRL_OSC</x:v>
      </x:c>
      <x:c r="P184" t="str">
        <x:v>TUNE</x:v>
      </x:c>
      <x:c r="Q184" t="str">
        <x:v>N</x:v>
      </x:c>
      <x:c r="R184" t="str">
        <x:v>14.0</x:v>
      </x:c>
      <x:c r="S184" t="str">
        <x:v>4761.01</x:v>
      </x:c>
      <x:c r="T184" t="str">
        <x:v>LV-502 hunting loop again, prod upset</x:v>
      </x:c>
      <x:c r="U184" t="str">
        <x:v>B shift called for LV-502 bottoms level vavle, vavle sticking seen during vavle stiction. Foud hunting loop; bad response after upset. Tag plate dirty, confirmd by line up with panel. changed gasket and boxed up. unit stable now. notif made by ops, maint attended same shift.</x:v>
      </x:c>
    </x:row>
    <x:row r="185" ht="15" hidden="0" customHeight="1">
      <x:c r="A185" t="str">
        <x:v>10450184</x:v>
      </x:c>
      <x:c r="B185" t="str">
        <x:v>40870184</x:v>
      </x:c>
      <x:c r="C185" t="str">
        <x:v>2022-02-28</x:v>
      </x:c>
      <x:c r="D185" t="str">
        <x:v>2022-03-01</x:v>
      </x:c>
      <x:c r="E185" t="str">
        <x:v>2022-03-01</x:v>
      </x:c>
      <x:c r="F185" t="str">
        <x:v>U400-DEETHANIZER-500</x:v>
      </x:c>
      <x:c r="G185" t="str">
        <x:v>T-501</x:v>
      </x:c>
      <x:c r="H185" t="str">
        <x:v>deethanizer column</x:v>
      </x:c>
      <x:c r="I185" t="str">
        <x:v>column</x:v>
      </x:c>
      <x:c r="J185" t="str">
        <x:v>P4</x:v>
      </x:c>
      <x:c r="K185" t="str">
        <x:v>COMP</x:v>
      </x:c>
      <x:c r="L185" t="str">
        <x:v>OPS+INST</x:v>
      </x:c>
      <x:c r="M185" t="str">
        <x:v>feed_composition_shift</x:v>
      </x:c>
      <x:c r="N185" t="str">
        <x:v>level unstable</x:v>
      </x:c>
      <x:c r="O185" t="str">
        <x:v>LVL_SWING</x:v>
      </x:c>
      <x:c r="P185" t="str">
        <x:v>CTRL</x:v>
      </x:c>
      <x:c r="Q185" t="str">
        <x:v>N</x:v>
      </x:c>
      <x:c r="R185" t="str">
        <x:v>6.6</x:v>
      </x:c>
      <x:c r="S185" t="str">
        <x:v>2001.12</x:v>
      </x:c>
      <x:c r="T185" t="str">
        <x:v>T-501 ovhd c3 slip, level unstable</x:v>
      </x:c>
      <x:c r="U185" t="str">
        <x:v>night called for T-501 deethanizer column, btm heavy seen during feed composition shift. Foud level unstable; sump level swing. Line was hot so job done slow and with ops standing by. flushed impulse/sample line. temp repair only, plan shutdown job. notif made by ops, maint attended same shift.</x:v>
      </x:c>
    </x:row>
    <x:row r="186" ht="15" hidden="0" customHeight="1">
      <x:c r="A186" t="str">
        <x:v>10450185</x:v>
      </x:c>
      <x:c r="B186" t="str">
        <x:v>40870185</x:v>
      </x:c>
      <x:c r="C186" t="str">
        <x:v>2022-02-25</x:v>
      </x:c>
      <x:c r="D186" t="str">
        <x:v>2022-02-26</x:v>
      </x:c>
      <x:c r="E186" t="str">
        <x:v>2022-02-26</x:v>
      </x:c>
      <x:c r="F186" t="str">
        <x:v>U400-DEETHANIZER-500</x:v>
      </x:c>
      <x:c r="G186" t="str">
        <x:v>T-501</x:v>
      </x:c>
      <x:c r="H186" t="str">
        <x:v>deethanizer column</x:v>
      </x:c>
      <x:c r="I186" t="str">
        <x:v>column</x:v>
      </x:c>
      <x:c r="J186" t="str">
        <x:v>P3</x:v>
      </x:c>
      <x:c r="K186" t="str">
        <x:v>CLSD</x:v>
      </x:c>
      <x:c r="L186" t="str">
        <x:v>MECH</x:v>
      </x:c>
      <x:c r="M186" t="str">
        <x:v>feed_flow_step</x:v>
      </x:c>
      <x:c r="N186" t="str">
        <x:v>dp high</x:v>
      </x:c>
      <x:c r="O186" t="str">
        <x:v>DP_HIGH</x:v>
      </x:c>
      <x:c r="P186" t="str">
        <x:v>FOAM</x:v>
      </x:c>
      <x:c r="Q186" t="str">
        <x:v>N</x:v>
      </x:c>
      <x:c r="R186" t="str">
        <x:v>2.7</x:v>
      </x:c>
      <x:c r="S186" t="str">
        <x:v>1079.61</x:v>
      </x:c>
      <x:c r="T186" t="str">
        <x:v>T-501 not ok after feed flow step</x:v>
      </x:c>
      <x:c r="U186" t="str">
        <x:v>night called for T-501 deethanizer column, c2 recov down seen during feed flow step. Foud dp high; trays loading or foaming. opened strainer, cleaned black sludge. ops says ok for now. notif made by ops, maint attended same shift.</x:v>
      </x:c>
    </x:row>
    <x:row r="187" ht="15" hidden="0" customHeight="1">
      <x:c r="A187" t="str">
        <x:v>10450186</x:v>
      </x:c>
      <x:c r="B187" t="str">
        <x:v>40870186</x:v>
      </x:c>
      <x:c r="C187" t="str">
        <x:v>2022-02-28</x:v>
      </x:c>
      <x:c r="D187" t="str">
        <x:v>2022-03-01</x:v>
      </x:c>
      <x:c r="E187" t="str">
        <x:v>2022-03-01</x:v>
      </x:c>
      <x:c r="F187" t="str">
        <x:v>U400-DEETHANIZER-500</x:v>
      </x:c>
      <x:c r="G187" t="str">
        <x:v>FV-502</x:v>
      </x:c>
      <x:c r="H187" t="str">
        <x:v>reflux flow control valve</x:v>
      </x:c>
      <x:c r="I187" t="str">
        <x:v>control_valve</x:v>
      </x:c>
      <x:c r="J187" t="str">
        <x:v>P3</x:v>
      </x:c>
      <x:c r="K187" t="str">
        <x:v>TECO</x:v>
      </x:c>
      <x:c r="L187" t="str">
        <x:v>OPS+INST</x:v>
      </x:c>
      <x:c r="M187" t="str">
        <x:v>feed_temperature_ramp</x:v>
      </x:c>
      <x:c r="N187" t="str">
        <x:v>not stroking</x:v>
      </x:c>
      <x:c r="O187" t="str">
        <x:v>NO_TRAVEL</x:v>
      </x:c>
      <x:c r="P187" t="str">
        <x:v>ACT</x:v>
      </x:c>
      <x:c r="Q187" t="str">
        <x:v>N</x:v>
      </x:c>
      <x:c r="R187" t="str">
        <x:v>14.8</x:v>
      </x:c>
      <x:c r="S187" t="str">
        <x:v>1753.23</x:v>
      </x:c>
      <x:c r="T187" t="str">
        <x:v>FV-502 not ok after feed temperature ramp</x:v>
      </x:c>
      <x:c r="U187" t="str">
        <x:v>days called for FV-502 rflx flow control vavle, spec off seen during feed temperature ramp. Foud not stroking; actuator weak. No spare in store at first, used refurb one from shop. calibrated, loop checked with CCR. readng close to dcs after job. notif made by ops, maint attended same shift.</x:v>
      </x:c>
    </x:row>
    <x:row r="188" ht="15" hidden="0" customHeight="1">
      <x:c r="A188" t="str">
        <x:v>10450187</x:v>
      </x:c>
      <x:c r="B188" t="str">
        <x:v>40870187</x:v>
      </x:c>
      <x:c r="C188" t="str">
        <x:v>2022-03-04</x:v>
      </x:c>
      <x:c r="D188" t="str">
        <x:v>2022-03-05</x:v>
      </x:c>
      <x:c r="E188" t="str">
        <x:v>2022-03-06</x:v>
      </x:c>
      <x:c r="F188" t="str">
        <x:v>U400-DEETHANIZER-500</x:v>
      </x:c>
      <x:c r="G188" t="str">
        <x:v>PT-501</x:v>
      </x:c>
      <x:c r="H188" t="str">
        <x:v>column overhead pressure tx</x:v>
      </x:c>
      <x:c r="I188" t="str">
        <x:v>instrument</x:v>
      </x:c>
      <x:c r="J188" t="str">
        <x:v>P3</x:v>
      </x:c>
      <x:c r="K188" t="str">
        <x:v>COMP</x:v>
      </x:c>
      <x:c r="L188" t="str">
        <x:v>OPS+INST</x:v>
      </x:c>
      <x:c r="M188" t="str">
        <x:v>condenser_fouling</x:v>
      </x:c>
      <x:c r="N188" t="str">
        <x:v>range err</x:v>
      </x:c>
      <x:c r="O188" t="str">
        <x:v>SPAN</x:v>
      </x:c>
      <x:c r="P188" t="str">
        <x:v>CAL</x:v>
      </x:c>
      <x:c r="Q188" t="str">
        <x:v>N</x:v>
      </x:c>
      <x:c r="R188" t="str">
        <x:v>14.9</x:v>
      </x:c>
      <x:c r="S188" t="str">
        <x:v>106.94</x:v>
      </x:c>
      <x:c r="T188" t="str">
        <x:v>PT-501 not ok after condenser fouling</x:v>
      </x:c>
      <x:c r="U188" t="str">
        <x:v>A shift called for PT-501 colmn overhead pressure tx, cond not pullng seen during condenser fouling. Foud range err; span shifted. replaced positioner tubing and retuned small. no leak at handover. notif made by ops, maint attended same shift.</x:v>
      </x:c>
    </x:row>
    <x:row r="189" ht="15" hidden="0" customHeight="1">
      <x:c r="A189" t="str">
        <x:v>10450188</x:v>
      </x:c>
      <x:c r="B189" t="str">
        <x:v>40870188</x:v>
      </x:c>
      <x:c r="C189" t="str">
        <x:v>2022-03-03</x:v>
      </x:c>
      <x:c r="D189" t="str">
        <x:v>2022-03-04</x:v>
      </x:c>
      <x:c r="E189" t="str">
        <x:v>2022-03-04</x:v>
      </x:c>
      <x:c r="F189" t="str">
        <x:v>U400-DEETHANIZER-500</x:v>
      </x:c>
      <x:c r="G189" t="str">
        <x:v>TV-502</x:v>
      </x:c>
      <x:c r="H189" t="str">
        <x:v>condenser cooling valve</x:v>
      </x:c>
      <x:c r="I189" t="str">
        <x:v>control_valve</x:v>
      </x:c>
      <x:c r="J189" t="str">
        <x:v>P3</x:v>
      </x:c>
      <x:c r="K189" t="str">
        <x:v>CLSD</x:v>
      </x:c>
      <x:c r="L189" t="str">
        <x:v>ROT</x:v>
      </x:c>
      <x:c r="M189" t="str">
        <x:v>condenser_fouling</x:v>
      </x:c>
      <x:c r="N189" t="str">
        <x:v>passing</x:v>
      </x:c>
      <x:c r="O189" t="str">
        <x:v>LEAK_BY</x:v>
      </x:c>
      <x:c r="P189" t="str">
        <x:v>SEAT</x:v>
      </x:c>
      <x:c r="Q189" t="str">
        <x:v>N</x:v>
      </x:c>
      <x:c r="R189" t="str">
        <x:v>11.4</x:v>
      </x:c>
      <x:c r="S189" t="str">
        <x:v>2911.34</x:v>
      </x:c>
      <x:c r="T189" t="str">
        <x:v>TV-502 passing again, prod upset</x:v>
      </x:c>
      <x:c r="U189" t="str">
        <x:v>A shift called for TV-502 condenser cooling vavle, high ovhd press seen during condenser fouling. Foud passing; seat leak by. Tag plate dirty, confirmd by line up with panel. changed gasket and boxed up. need watch next feed swing. notif made by ops, maint attended same shift.</x:v>
      </x:c>
    </x:row>
    <x:row r="190" ht="15" hidden="0" customHeight="1">
      <x:c r="A190" t="str">
        <x:v>10450189</x:v>
      </x:c>
      <x:c r="B190" t="str">
        <x:v>40870189</x:v>
      </x:c>
      <x:c r="C190" t="str">
        <x:v>2022-03-06</x:v>
      </x:c>
      <x:c r="D190" t="str">
        <x:v>2022-03-07</x:v>
      </x:c>
      <x:c r="E190" t="str">
        <x:v>2022-03-07</x:v>
      </x:c>
      <x:c r="F190" t="str">
        <x:v>U400-DEETHANIZER-500</x:v>
      </x:c>
      <x:c r="G190" t="str">
        <x:v>FV-501</x:v>
      </x:c>
      <x:c r="H190" t="str">
        <x:v>feed flow control valve</x:v>
      </x:c>
      <x:c r="I190" t="str">
        <x:v>control_valve</x:v>
      </x:c>
      <x:c r="J190" t="str">
        <x:v>P3</x:v>
      </x:c>
      <x:c r="K190" t="str">
        <x:v>TECO</x:v>
      </x:c>
      <x:c r="L190" t="str">
        <x:v>OPS+INST</x:v>
      </x:c>
      <x:c r="M190" t="str">
        <x:v>feed_flow_step</x:v>
      </x:c>
      <x:c r="N190" t="str">
        <x:v>hunting loop</x:v>
      </x:c>
      <x:c r="O190" t="str">
        <x:v>CTRL_OSC</x:v>
      </x:c>
      <x:c r="P190" t="str">
        <x:v>TUNE</x:v>
      </x:c>
      <x:c r="Q190" t="str">
        <x:v>N</x:v>
      </x:c>
      <x:c r="R190" t="str">
        <x:v>8.1</x:v>
      </x:c>
      <x:c r="S190" t="str">
        <x:v>4641.9</x:v>
      </x:c>
      <x:c r="T190" t="str">
        <x:v>FV-501 hunting loop after upset</x:v>
      </x:c>
      <x:c r="U190" t="str">
        <x:v>A shift called for FV-501 feed flow control valve, c2 recov down seen during feed flow step. Foud hunting loop; bad response after upset. calibrated, loop checked with CCR. ops says ok for now. notif made by ops, maint attended same shift.</x:v>
      </x:c>
    </x:row>
    <x:row r="191" ht="15" hidden="0" customHeight="1">
      <x:c r="A191" t="str">
        <x:v>10450190</x:v>
      </x:c>
      <x:c r="B191" t="str">
        <x:v>40870190</x:v>
      </x:c>
      <x:c r="C191" t="str">
        <x:v>2022-03-08</x:v>
      </x:c>
      <x:c r="D191" t="str">
        <x:v>2022-03-10</x:v>
      </x:c>
      <x:c r="E191" t="str">
        <x:v>2022-03-11</x:v>
      </x:c>
      <x:c r="F191" t="str">
        <x:v>U400-DEETHANIZER-500</x:v>
      </x:c>
      <x:c r="G191" t="str">
        <x:v>PV-501</x:v>
      </x:c>
      <x:c r="H191" t="str">
        <x:v>column pressure control valve</x:v>
      </x:c>
      <x:c r="I191" t="str">
        <x:v>control_valve</x:v>
      </x:c>
      <x:c r="J191" t="str">
        <x:v>P3</x:v>
      </x:c>
      <x:c r="K191" t="str">
        <x:v>TECO</x:v>
      </x:c>
      <x:c r="L191" t="str">
        <x:v>INST</x:v>
      </x:c>
      <x:c r="M191" t="str">
        <x:v>pressure_control_fault</x:v>
      </x:c>
      <x:c r="N191" t="str">
        <x:v>hunting loop</x:v>
      </x:c>
      <x:c r="O191" t="str">
        <x:v>CTRL_OSC</x:v>
      </x:c>
      <x:c r="P191" t="str">
        <x:v>TUNE</x:v>
      </x:c>
      <x:c r="Q191" t="str">
        <x:v>N</x:v>
      </x:c>
      <x:c r="R191" t="str">
        <x:v>8.1</x:v>
      </x:c>
      <x:c r="S191" t="str">
        <x:v>5000.34</x:v>
      </x:c>
      <x:c r="T191" t="str">
        <x:v>PV-501 not ok after pressure control fault</x:v>
      </x:c>
      <x:c r="U191" t="str">
        <x:v>A shift called for PV-501 column pressure control valve, flare valve chekd seen during pressure control fault. Foud hunting loop; bad response after upset. No spare in store at first, used refurb one from shop. flushed impulse/sample line. need watch next feed swing. notif made by ops, maint attended same shift.</x:v>
      </x:c>
    </x:row>
    <x:row r="192" ht="15" hidden="0" customHeight="1">
      <x:c r="A192" t="str">
        <x:v>10450191</x:v>
      </x:c>
      <x:c r="B192" t="str">
        <x:v>40870191</x:v>
      </x:c>
      <x:c r="C192" t="str">
        <x:v>2022-03-07</x:v>
      </x:c>
      <x:c r="D192" t="str">
        <x:v>2022-03-07</x:v>
      </x:c>
      <x:c r="E192" t="str">
        <x:v>2022-03-09</x:v>
      </x:c>
      <x:c r="F192" t="str">
        <x:v>U400-DEETHANIZER-500</x:v>
      </x:c>
      <x:c r="G192" t="str">
        <x:v>FV-502</x:v>
      </x:c>
      <x:c r="H192" t="str">
        <x:v>reflux flow control valve</x:v>
      </x:c>
      <x:c r="I192" t="str">
        <x:v>control_valve</x:v>
      </x:c>
      <x:c r="J192" t="str">
        <x:v>P4</x:v>
      </x:c>
      <x:c r="K192" t="str">
        <x:v>TECO</x:v>
      </x:c>
      <x:c r="L192" t="str">
        <x:v>OPS+MECH</x:v>
      </x:c>
      <x:c r="M192" t="str">
        <x:v>reflux_pump_degradation</x:v>
      </x:c>
      <x:c r="N192" t="str">
        <x:v>air leak</x:v>
      </x:c>
      <x:c r="O192" t="str">
        <x:v>AIR_LEAK</x:v>
      </x:c>
      <x:c r="P192" t="str">
        <x:v>TUBING</x:v>
      </x:c>
      <x:c r="Q192" t="str">
        <x:v>N</x:v>
      </x:c>
      <x:c r="R192" t="str">
        <x:v>16.3</x:v>
      </x:c>
      <x:c r="S192" t="str">
        <x:v>852.2</x:v>
      </x:c>
      <x:c r="T192" t="str">
        <x:v>FV-502 seal weep, air leak</x:v>
      </x:c>
      <x:c r="U192" t="str">
        <x:v>days called for FV-502 reflux flow control valve, disch press low seen during reflux pump degradation. Foud air leak; positioner supply drop. swapped to standby and repaired. ops says ok for now. notif made by ops, maint attended same shift.</x:v>
      </x:c>
    </x:row>
    <x:row r="193" ht="15" hidden="0" customHeight="1">
      <x:c r="A193" t="str">
        <x:v>10450192</x:v>
      </x:c>
      <x:c r="B193" t="str">
        <x:v>40870192</x:v>
      </x:c>
      <x:c r="C193" t="str">
        <x:v>2022-03-08</x:v>
      </x:c>
      <x:c r="D193" t="str">
        <x:v>2022-03-09</x:v>
      </x:c>
      <x:c r="E193" t="str">
        <x:v>2022-03-12</x:v>
      </x:c>
      <x:c r="F193" t="str">
        <x:v>U400-DEETHANIZER-500</x:v>
      </x:c>
      <x:c r="G193" t="str">
        <x:v>PV-501</x:v>
      </x:c>
      <x:c r="H193" t="str">
        <x:v>column pressure control valve</x:v>
      </x:c>
      <x:c r="I193" t="str">
        <x:v>control_valve</x:v>
      </x:c>
      <x:c r="J193" t="str">
        <x:v>P1</x:v>
      </x:c>
      <x:c r="K193" t="str">
        <x:v>CLSD</x:v>
      </x:c>
      <x:c r="L193" t="str">
        <x:v>OPS+MECH</x:v>
      </x:c>
      <x:c r="M193" t="str">
        <x:v>valve_stiction</x:v>
      </x:c>
      <x:c r="N193" t="str">
        <x:v>passing</x:v>
      </x:c>
      <x:c r="O193" t="str">
        <x:v>LEAK_BY</x:v>
      </x:c>
      <x:c r="P193" t="str">
        <x:v>SEAT</x:v>
      </x:c>
      <x:c r="Q193" t="str">
        <x:v>Y</x:v>
      </x:c>
      <x:c r="R193" t="str">
        <x:v>22.6</x:v>
      </x:c>
      <x:c r="S193" t="str">
        <x:v>293.29</x:v>
      </x:c>
      <x:c r="T193" t="str">
        <x:v>chk PV-501 - passing frm ops</x:v>
      </x:c>
      <x:c r="U193" t="str">
        <x:v>A shift called for PV-501 column pressure control valve, air leak seen during valve stiction. Foud passing; seat leak by. History shows same complain last mnth. swapped to standby and repaired. need watch next feed swing. notif made by ops, maint attended same shift.</x:v>
      </x:c>
    </x:row>
    <x:row r="194" ht="15" hidden="0" customHeight="1">
      <x:c r="A194" t="str">
        <x:v>10450193</x:v>
      </x:c>
      <x:c r="B194" t="str">
        <x:v>40870193</x:v>
      </x:c>
      <x:c r="C194" t="str">
        <x:v>2022-03-12</x:v>
      </x:c>
      <x:c r="D194" t="str">
        <x:v>2022-03-12</x:v>
      </x:c>
      <x:c r="E194" t="str">
        <x:v>2022-03-14</x:v>
      </x:c>
      <x:c r="F194" t="str">
        <x:v>U400-DEETHANIZER-500</x:v>
      </x:c>
      <x:c r="G194" t="str">
        <x:v>PT-501</x:v>
      </x:c>
      <x:c r="H194" t="str">
        <x:v>column overhead pressure tx</x:v>
      </x:c>
      <x:c r="I194" t="str">
        <x:v>instrument</x:v>
      </x:c>
      <x:c r="J194" t="str">
        <x:v>P3</x:v>
      </x:c>
      <x:c r="K194" t="str">
        <x:v>TECO</x:v>
      </x:c>
      <x:c r="L194" t="str">
        <x:v>INST</x:v>
      </x:c>
      <x:c r="M194" t="str">
        <x:v>condenser_fouling</x:v>
      </x:c>
      <x:c r="N194" t="str">
        <x:v>range err</x:v>
      </x:c>
      <x:c r="O194" t="str">
        <x:v>SPAN</x:v>
      </x:c>
      <x:c r="P194" t="str">
        <x:v>CAL</x:v>
      </x:c>
      <x:c r="Q194" t="str">
        <x:v>N</x:v>
      </x:c>
      <x:c r="R194" t="str">
        <x:v>9.6</x:v>
      </x:c>
      <x:c r="S194" t="str">
        <x:v>4692.83</x:v>
      </x:c>
      <x:c r="T194" t="str">
        <x:v>PT-501 range err bad</x:v>
      </x:c>
      <x:c r="U194" t="str">
        <x:v>A shift called for PT-501 column overhead press tx, cw dt low seen during condenser fouling. Foud range err; span shifted. opened strainer, cleaned black sludge. need watch next feed swing. notif made by ops, maint attended same shift.</x:v>
      </x:c>
    </x:row>
    <x:row r="195" ht="15" hidden="0" customHeight="1">
      <x:c r="A195" t="str">
        <x:v>10450194</x:v>
      </x:c>
      <x:c r="B195" t="str">
        <x:v>40870194</x:v>
      </x:c>
      <x:c r="C195" t="str">
        <x:v>2022-03-12</x:v>
      </x:c>
      <x:c r="D195" t="str">
        <x:v>2022-03-13</x:v>
      </x:c>
      <x:c r="E195" t="str">
        <x:v>2022-03-13</x:v>
      </x:c>
      <x:c r="F195" t="str">
        <x:v>U400-DEETHANIZER-500</x:v>
      </x:c>
      <x:c r="G195" t="str">
        <x:v>FV-501</x:v>
      </x:c>
      <x:c r="H195" t="str">
        <x:v>feed flow control valve</x:v>
      </x:c>
      <x:c r="I195" t="str">
        <x:v>control_valve</x:v>
      </x:c>
      <x:c r="J195" t="str">
        <x:v>P3</x:v>
      </x:c>
      <x:c r="K195" t="str">
        <x:v>TECO</x:v>
      </x:c>
      <x:c r="L195" t="str">
        <x:v>OPS+INST</x:v>
      </x:c>
      <x:c r="M195" t="str">
        <x:v>valve_stiction</x:v>
      </x:c>
      <x:c r="N195" t="str">
        <x:v>stiction</x:v>
      </x:c>
      <x:c r="O195" t="str">
        <x:v>STICK</x:v>
      </x:c>
      <x:c r="P195" t="str">
        <x:v>PACKING</x:v>
      </x:c>
      <x:c r="Q195" t="str">
        <x:v>N</x:v>
      </x:c>
      <x:c r="R195" t="str">
        <x:v>7.1</x:v>
      </x:c>
      <x:c r="S195" t="str">
        <x:v>3418.91</x:v>
      </x:c>
      <x:c r="T195" t="str">
        <x:v>FV-501 not ok after vavle stiction</x:v>
      </x:c>
      <x:c r="U195" t="str">
        <x:v>A shift called for FV-501 feed flow control vavle, air leak seen during vavle stiction. Foud stiction; stem sticky and pos err. History shows same complain last mnth. swapped to standby and repaired. still little hunting but acceptable. notif made by ops, maint attended same shift.</x:v>
      </x:c>
    </x:row>
    <x:row r="196" ht="15" hidden="0" customHeight="1">
      <x:c r="A196" t="str">
        <x:v>10450195</x:v>
      </x:c>
      <x:c r="B196" t="str">
        <x:v>40870195</x:v>
      </x:c>
      <x:c r="C196" t="str">
        <x:v>2022-03-14</x:v>
      </x:c>
      <x:c r="D196" t="str">
        <x:v>2022-03-15</x:v>
      </x:c>
      <x:c r="E196" t="str">
        <x:v>2022-03-16</x:v>
      </x:c>
      <x:c r="F196" t="str">
        <x:v>U400-DEETHANIZER-500</x:v>
      </x:c>
      <x:c r="G196" t="str">
        <x:v>TV-502</x:v>
      </x:c>
      <x:c r="H196" t="str">
        <x:v>condenser cooling valve</x:v>
      </x:c>
      <x:c r="I196" t="str">
        <x:v>control_valve</x:v>
      </x:c>
      <x:c r="J196" t="str">
        <x:v>P2</x:v>
      </x:c>
      <x:c r="K196" t="str">
        <x:v>COMP</x:v>
      </x:c>
      <x:c r="L196" t="str">
        <x:v>ANLYZR</x:v>
      </x:c>
      <x:c r="M196" t="str">
        <x:v>valve_stiction</x:v>
      </x:c>
      <x:c r="N196" t="str">
        <x:v>not stroking</x:v>
      </x:c>
      <x:c r="O196" t="str">
        <x:v>NO_TRAVEL</x:v>
      </x:c>
      <x:c r="P196" t="str">
        <x:v>ACT</x:v>
      </x:c>
      <x:c r="Q196" t="str">
        <x:v>Y</x:v>
      </x:c>
      <x:c r="R196" t="str">
        <x:v>10.4</x:v>
      </x:c>
      <x:c r="S196" t="str">
        <x:v>758.87</x:v>
      </x:c>
      <x:c r="T196" t="str">
        <x:v>chk TV-502 - not stroking frm ops</x:v>
      </x:c>
      <x:c r="U196" t="str">
        <x:v>C shift called for TV-502 condenser cooling valve, air leak seen during valve stiction. Foud not stroking; actuator weak. Line was hot so job done slow and with ops standing by. tightened fittings, leak test ok. still little hunting but acceptable. notif made by ops, maint attended same shift.</x:v>
      </x:c>
    </x:row>
    <x:row r="197" ht="15" hidden="0" customHeight="1">
      <x:c r="A197" t="str">
        <x:v>10450196</x:v>
      </x:c>
      <x:c r="B197" t="str">
        <x:v>40870196</x:v>
      </x:c>
      <x:c r="C197" t="str">
        <x:v>2022-03-16</x:v>
      </x:c>
      <x:c r="D197" t="str">
        <x:v>2022-03-17</x:v>
      </x:c>
      <x:c r="E197" t="str">
        <x:v>2022-03-18</x:v>
      </x:c>
      <x:c r="F197" t="str">
        <x:v>U400-DEETHANIZER-500</x:v>
      </x:c>
      <x:c r="G197" t="str">
        <x:v>TT-501B</x:v>
      </x:c>
      <x:c r="H197" t="str">
        <x:v>sensitive tray temperature tx</x:v>
      </x:c>
      <x:c r="I197" t="str">
        <x:v>instrument</x:v>
      </x:c>
      <x:c r="J197" t="str">
        <x:v>P2</x:v>
      </x:c>
      <x:c r="K197" t="str">
        <x:v>CLSD</x:v>
      </x:c>
      <x:c r="L197" t="str">
        <x:v>INST</x:v>
      </x:c>
      <x:c r="M197" t="str">
        <x:v>feed_temperature_ramp</x:v>
      </x:c>
      <x:c r="N197" t="str">
        <x:v>range err</x:v>
      </x:c>
      <x:c r="O197" t="str">
        <x:v>SPAN</x:v>
      </x:c>
      <x:c r="P197" t="str">
        <x:v>CAL</x:v>
      </x:c>
      <x:c r="Q197" t="str">
        <x:v>Y</x:v>
      </x:c>
      <x:c r="R197" t="str">
        <x:v>7.0</x:v>
      </x:c>
      <x:c r="S197" t="str">
        <x:v>4718.49</x:v>
      </x:c>
      <x:c r="T197" t="str">
        <x:v>TT-501B range err again, prod upset</x:v>
      </x:c>
      <x:c r="U197" t="str">
        <x:v>night called for TT-501B sensitive tray temperature tx, spec off seen during feed temperature ramp. Foud range err; span shifted. flushed impulse/sample line. still little hunting but acceptable. notif made by ops, maint attended same shift.</x:v>
      </x:c>
    </x:row>
    <x:row r="198" ht="15" hidden="0" customHeight="1">
      <x:c r="A198" t="str">
        <x:v>10450197</x:v>
      </x:c>
      <x:c r="B198" t="str">
        <x:v>40870197</x:v>
      </x:c>
      <x:c r="C198" t="str">
        <x:v>2022-03-14</x:v>
      </x:c>
      <x:c r="D198" t="str">
        <x:v>2022-03-14</x:v>
      </x:c>
      <x:c r="E198" t="str">
        <x:v>2022-03-16</x:v>
      </x:c>
      <x:c r="F198" t="str">
        <x:v>U400-DEETHANIZER-500</x:v>
      </x:c>
      <x:c r="G198" t="str">
        <x:v>TV-501</x:v>
      </x:c>
      <x:c r="H198" t="str">
        <x:v>reboiler hot medium valve</x:v>
      </x:c>
      <x:c r="I198" t="str">
        <x:v>control_valve</x:v>
      </x:c>
      <x:c r="J198" t="str">
        <x:v>P2</x:v>
      </x:c>
      <x:c r="K198" t="str">
        <x:v>TECO</x:v>
      </x:c>
      <x:c r="L198" t="str">
        <x:v>INST</x:v>
      </x:c>
      <x:c r="M198" t="str">
        <x:v>reboiler_duty_loss</x:v>
      </x:c>
      <x:c r="N198" t="str">
        <x:v>stiction</x:v>
      </x:c>
      <x:c r="O198" t="str">
        <x:v>STICK</x:v>
      </x:c>
      <x:c r="P198" t="str">
        <x:v>PACKING</x:v>
      </x:c>
      <x:c r="Q198" t="str">
        <x:v>N</x:v>
      </x:c>
      <x:c r="R198" t="str">
        <x:v>13.3</x:v>
      </x:c>
      <x:c r="S198" t="str">
        <x:v>4564.66</x:v>
      </x:c>
      <x:c r="T198" t="str">
        <x:v>TV-501 low heat, stiction</x:v>
      </x:c>
      <x:c r="U198" t="str">
        <x:v>night called for TV-501 reboiler hot medium valve, tray temp low seen during reboiler duty loss. Foud stiction; stem sticky and pos err. reset trip and monitored for 2 hrs. still little hunting but acceptable. notif made by ops, maint attended same shift.</x:v>
      </x:c>
    </x:row>
    <x:row r="199" ht="15" hidden="0" customHeight="1">
      <x:c r="A199" t="str">
        <x:v>10450198</x:v>
      </x:c>
      <x:c r="B199" t="str">
        <x:v>40870198</x:v>
      </x:c>
      <x:c r="C199" t="str">
        <x:v>2022-03-17</x:v>
      </x:c>
      <x:c r="D199" t="str">
        <x:v>2022-03-17</x:v>
      </x:c>
      <x:c r="E199" t="str">
        <x:v>2022-03-18</x:v>
      </x:c>
      <x:c r="F199" t="str">
        <x:v>U400-DEETHANIZER-500</x:v>
      </x:c>
      <x:c r="G199" t="str">
        <x:v>PV-501</x:v>
      </x:c>
      <x:c r="H199" t="str">
        <x:v>column pressure control valve</x:v>
      </x:c>
      <x:c r="I199" t="str">
        <x:v>control_valve</x:v>
      </x:c>
      <x:c r="J199" t="str">
        <x:v>P3</x:v>
      </x:c>
      <x:c r="K199" t="str">
        <x:v>TECO</x:v>
      </x:c>
      <x:c r="L199" t="str">
        <x:v>OPS+INST</x:v>
      </x:c>
      <x:c r="M199" t="str">
        <x:v>valve_stiction</x:v>
      </x:c>
      <x:c r="N199" t="str">
        <x:v>stiction</x:v>
      </x:c>
      <x:c r="O199" t="str">
        <x:v>STICK</x:v>
      </x:c>
      <x:c r="P199" t="str">
        <x:v>PACKING</x:v>
      </x:c>
      <x:c r="Q199" t="str">
        <x:v>N</x:v>
      </x:c>
      <x:c r="R199" t="str">
        <x:v>9.1</x:v>
      </x:c>
      <x:c r="S199" t="str">
        <x:v>1280.94</x:v>
      </x:c>
      <x:c r="T199" t="str">
        <x:v>chk PV-501 - stiction frm ops</x:v>
      </x:c>
      <x:c r="U199" t="str">
        <x:v>A shift called for PV-501 column pressure control valve, loop cycling seen during valve stiction. Foud stiction; stem sticky and pos err. History shows same complain last mnth. cleaned and put back online. still little hunting but acceptable. notif made by ops, maint attended same shift.</x:v>
      </x:c>
    </x:row>
    <x:row r="200" ht="15" hidden="0" customHeight="1">
      <x:c r="A200" t="str">
        <x:v>10450199</x:v>
      </x:c>
      <x:c r="B200" t="str">
        <x:v>40870199</x:v>
      </x:c>
      <x:c r="C200" t="str">
        <x:v>2022-03-21</x:v>
      </x:c>
      <x:c r="D200" t="str">
        <x:v>2022-03-22</x:v>
      </x:c>
      <x:c r="E200" t="str">
        <x:v>2022-03-27</x:v>
      </x:c>
      <x:c r="F200" t="str">
        <x:v>U400-DEETHANIZER-500</x:v>
      </x:c>
      <x:c r="G200" t="str">
        <x:v>T-501</x:v>
      </x:c>
      <x:c r="H200" t="str">
        <x:v>deethanizer column</x:v>
      </x:c>
      <x:c r="I200" t="str">
        <x:v>column</x:v>
      </x:c>
      <x:c r="J200" t="str">
        <x:v>P2</x:v>
      </x:c>
      <x:c r="K200" t="str">
        <x:v>COMP</x:v>
      </x:c>
      <x:c r="L200" t="str">
        <x:v>MECH</x:v>
      </x:c>
      <x:c r="M200" t="str">
        <x:v>feed_flow_step</x:v>
      </x:c>
      <x:c r="N200" t="str">
        <x:v>dp high</x:v>
      </x:c>
      <x:c r="O200" t="str">
        <x:v>DP_HIGH</x:v>
      </x:c>
      <x:c r="P200" t="str">
        <x:v>FOAM</x:v>
      </x:c>
      <x:c r="Q200" t="str">
        <x:v>N</x:v>
      </x:c>
      <x:c r="R200" t="str">
        <x:v>6.0</x:v>
      </x:c>
      <x:c r="S200" t="str">
        <x:v>5315.65</x:v>
      </x:c>
      <x:c r="T200" t="str">
        <x:v>chk T-501 - dp high frm ops</x:v>
      </x:c>
      <x:c r="U200" t="str">
        <x:v>night called for T-501 deethanizer column, lvl swing seen during feed flow step. Foud dp high; trays loading or foaming. opened strainer, cleaned black sludge. readng close to dcs after job. notif made by ops, maint attended same shift.</x:v>
      </x:c>
    </x:row>
    <x:row r="201" ht="15" hidden="0" customHeight="1">
      <x:c r="A201" t="str">
        <x:v>10450200</x:v>
      </x:c>
      <x:c r="B201" t="str">
        <x:v>40870200</x:v>
      </x:c>
      <x:c r="C201" t="str">
        <x:v>2022-03-20</x:v>
      </x:c>
      <x:c r="D201" t="str">
        <x:v>2022-03-20</x:v>
      </x:c>
      <x:c r="E201" t="str">
        <x:v>2022-03-20</x:v>
      </x:c>
      <x:c r="F201" t="str">
        <x:v>U400-DEETHANIZER-500</x:v>
      </x:c>
      <x:c r="G201" t="str">
        <x:v>E-503</x:v>
      </x:c>
      <x:c r="H201" t="str">
        <x:v>feed bottoms exchanger</x:v>
      </x:c>
      <x:c r="I201" t="str">
        <x:v>exchanger</x:v>
      </x:c>
      <x:c r="J201" t="str">
        <x:v>P2</x:v>
      </x:c>
      <x:c r="K201" t="str">
        <x:v>TECO</x:v>
      </x:c>
      <x:c r="L201" t="str">
        <x:v>ANLYZR</x:v>
      </x:c>
      <x:c r="M201" t="str">
        <x:v>feed_flow_step</x:v>
      </x:c>
      <x:c r="N201" t="str">
        <x:v>gasket weep</x:v>
      </x:c>
      <x:c r="O201" t="str">
        <x:v>LEAK</x:v>
      </x:c>
      <x:c r="P201" t="str">
        <x:v>GASKET</x:v>
      </x:c>
      <x:c r="Q201" t="str">
        <x:v>N</x:v>
      </x:c>
      <x:c r="R201" t="str">
        <x:v>4.7</x:v>
      </x:c>
      <x:c r="S201" t="str">
        <x:v>15071.64</x:v>
      </x:c>
      <x:c r="T201" t="str">
        <x:v>E-503 not ok after feed flow step</x:v>
      </x:c>
      <x:c r="U201" t="str">
        <x:v>night called for E-503 feed bottoms exchanger, column dp high seen during feed flow step. Foud gasket weep; flange sweating. History shows same complain last mnth. stroke tested, response better. unit stable now. notif made by ops, maint attended same shift.</x:v>
      </x:c>
    </x:row>
    <x:row r="202" ht="15" hidden="0" customHeight="1">
      <x:c r="A202" t="str">
        <x:v>10450201</x:v>
      </x:c>
      <x:c r="B202" t="str">
        <x:v>40870201</x:v>
      </x:c>
      <x:c r="C202" t="str">
        <x:v>2022-03-20</x:v>
      </x:c>
      <x:c r="D202" t="str">
        <x:v>2022-03-20</x:v>
      </x:c>
      <x:c r="E202" t="str">
        <x:v>2022-03-22</x:v>
      </x:c>
      <x:c r="F202" t="str">
        <x:v>U400-DEETHANIZER-500</x:v>
      </x:c>
      <x:c r="G202" t="str">
        <x:v>LV-502</x:v>
      </x:c>
      <x:c r="H202" t="str">
        <x:v>bottoms level valve</x:v>
      </x:c>
      <x:c r="I202" t="str">
        <x:v>control_valve</x:v>
      </x:c>
      <x:c r="J202" t="str">
        <x:v>P2</x:v>
      </x:c>
      <x:c r="K202" t="str">
        <x:v>COMP</x:v>
      </x:c>
      <x:c r="L202" t="str">
        <x:v>ANLYZR</x:v>
      </x:c>
      <x:c r="M202" t="str">
        <x:v>valve_stiction</x:v>
      </x:c>
      <x:c r="N202" t="str">
        <x:v>passing</x:v>
      </x:c>
      <x:c r="O202" t="str">
        <x:v>LEAK_BY</x:v>
      </x:c>
      <x:c r="P202" t="str">
        <x:v>SEAT</x:v>
      </x:c>
      <x:c r="Q202" t="str">
        <x:v>N</x:v>
      </x:c>
      <x:c r="R202" t="str">
        <x:v>3.0</x:v>
      </x:c>
      <x:c r="S202" t="str">
        <x:v>6281.49</x:v>
      </x:c>
      <x:c r="T202" t="str">
        <x:v>LV-502 passing bad</x:v>
      </x:c>
      <x:c r="U202" t="str">
        <x:v>A shift called for LV-502 bottoms level valve, air leak seen during valve stiction. Foud passing; seat leak by. Line was hot so job done slow and with ops standing by. calibrated, loop checked with CCR. no leak at handover. notif made by ops, maint attended same shift.</x:v>
      </x:c>
    </x:row>
    <x:row r="203" ht="15" hidden="0" customHeight="1">
      <x:c r="A203" t="str">
        <x:v>10450202</x:v>
      </x:c>
      <x:c r="B203" t="str">
        <x:v>40870202</x:v>
      </x:c>
      <x:c r="C203" t="str">
        <x:v>2022-03-22</x:v>
      </x:c>
      <x:c r="D203" t="str">
        <x:v>2022-03-22</x:v>
      </x:c>
      <x:c r="E203" t="str">
        <x:v>2022-03-27</x:v>
      </x:c>
      <x:c r="F203" t="str">
        <x:v>U400-DEETHANIZER-500</x:v>
      </x:c>
      <x:c r="G203" t="str">
        <x:v>TT-503</x:v>
      </x:c>
      <x:c r="H203" t="str">
        <x:v>reboiler outlet temperature tx</x:v>
      </x:c>
      <x:c r="I203" t="str">
        <x:v>instrument</x:v>
      </x:c>
      <x:c r="J203" t="str">
        <x:v>P2</x:v>
      </x:c>
      <x:c r="K203" t="str">
        <x:v>COMP</x:v>
      </x:c>
      <x:c r="L203" t="str">
        <x:v>E&amp;I</x:v>
      </x:c>
      <x:c r="M203" t="str">
        <x:v>reboiler_duty_loss</x:v>
      </x:c>
      <x:c r="N203" t="str">
        <x:v>loose wire</x:v>
      </x:c>
      <x:c r="O203" t="str">
        <x:v>SIGNAL</x:v>
      </x:c>
      <x:c r="P203" t="str">
        <x:v>ELEC</x:v>
      </x:c>
      <x:c r="Q203" t="str">
        <x:v>N</x:v>
      </x:c>
      <x:c r="R203" t="str">
        <x:v>13.0</x:v>
      </x:c>
      <x:c r="S203" t="str">
        <x:v>5404.33</x:v>
      </x:c>
      <x:c r="T203" t="str">
        <x:v>chk TT-503 - loose wire frm ops</x:v>
      </x:c>
      <x:c r="U203" t="str">
        <x:v>B shift called for TT-503 reboiler outlet temperature tx, c2 in btm seen during reboiler duty loss. Foud loose wire; term loose. replaced positioner tubing and retuned small. temp repair only, plan shutdown job. notif made by ops, maint attended same shift.</x:v>
      </x:c>
    </x:row>
    <x:row r="204" ht="15" hidden="0" customHeight="1">
      <x:c r="A204" t="str">
        <x:v>10450203</x:v>
      </x:c>
      <x:c r="B204" t="str">
        <x:v>40870203</x:v>
      </x:c>
      <x:c r="C204" t="str">
        <x:v>2022-03-22</x:v>
      </x:c>
      <x:c r="D204" t="str">
        <x:v>2022-03-22</x:v>
      </x:c>
      <x:c r="E204" t="str">
        <x:v>2022-03-27</x:v>
      </x:c>
      <x:c r="F204" t="str">
        <x:v>U400-DEETHANIZER-500</x:v>
      </x:c>
      <x:c r="G204" t="str">
        <x:v>E-503</x:v>
      </x:c>
      <x:c r="H204" t="str">
        <x:v>feed bottoms exchanger</x:v>
      </x:c>
      <x:c r="I204" t="str">
        <x:v>exchanger</x:v>
      </x:c>
      <x:c r="J204" t="str">
        <x:v>P2</x:v>
      </x:c>
      <x:c r="K204" t="str">
        <x:v>COMP</x:v>
      </x:c>
      <x:c r="L204" t="str">
        <x:v>OPS+INST</x:v>
      </x:c>
      <x:c r="M204" t="str">
        <x:v>feed_temperature_ramp</x:v>
      </x:c>
      <x:c r="N204" t="str">
        <x:v>plugged pass</x:v>
      </x:c>
      <x:c r="O204" t="str">
        <x:v>PLUG</x:v>
      </x:c>
      <x:c r="P204" t="str">
        <x:v>FOUL</x:v>
      </x:c>
      <x:c r="Q204" t="str">
        <x:v>Y</x:v>
      </x:c>
      <x:c r="R204" t="str">
        <x:v>11.6</x:v>
      </x:c>
      <x:c r="S204" t="str">
        <x:v>10277.82</x:v>
      </x:c>
      <x:c r="T204" t="str">
        <x:v>E-503 not ok after feed temperature ramp</x:v>
      </x:c>
      <x:c r="U204" t="str">
        <x:v>night called for E-503 feed bottoms exchanger, ovhd press moving seen during feed temperature ramp. Foud plugged pass; flow restricted. Tag plate dirty, confirmd by line up with panel. replaced positioner tubing and retuned small. still little hunting but acceptable. notif made by ops, maint attended same shift.</x:v>
      </x:c>
    </x:row>
    <x:row r="205" ht="15" hidden="0" customHeight="1">
      <x:c r="A205" t="str">
        <x:v>10450204</x:v>
      </x:c>
      <x:c r="B205" t="str">
        <x:v>40870204</x:v>
      </x:c>
      <x:c r="C205" t="str">
        <x:v>2022-03-29</x:v>
      </x:c>
      <x:c r="D205" t="str">
        <x:v>2022-03-29</x:v>
      </x:c>
      <x:c r="E205" t="str">
        <x:v>2022-03-30</x:v>
      </x:c>
      <x:c r="F205" t="str">
        <x:v>U400-DEETHANIZER-500</x:v>
      </x:c>
      <x:c r="G205" t="str">
        <x:v>AIT-501</x:v>
      </x:c>
      <x:c r="H205" t="str">
        <x:v>overhead C2 analyzer</x:v>
      </x:c>
      <x:c r="I205" t="str">
        <x:v>analyzer</x:v>
      </x:c>
      <x:c r="J205" t="str">
        <x:v>P3</x:v>
      </x:c>
      <x:c r="K205" t="str">
        <x:v>TECO</x:v>
      </x:c>
      <x:c r="L205" t="str">
        <x:v>OPS+INST</x:v>
      </x:c>
      <x:c r="M205" t="str">
        <x:v>feed_composition_shift</x:v>
      </x:c>
      <x:c r="N205" t="str">
        <x:v>anlyzr drift</x:v>
      </x:c>
      <x:c r="O205" t="str">
        <x:v>DRIFT</x:v>
      </x:c>
      <x:c r="P205" t="str">
        <x:v>CAL_GAS</x:v>
      </x:c>
      <x:c r="Q205" t="str">
        <x:v>N</x:v>
      </x:c>
      <x:c r="R205" t="str">
        <x:v>1.4</x:v>
      </x:c>
      <x:c r="S205" t="str">
        <x:v>6266.04</x:v>
      </x:c>
      <x:c r="T205" t="str">
        <x:v>chk AIT-501 - anlyzr drift frm ops</x:v>
      </x:c>
      <x:c r="U205" t="str">
        <x:v>B shift called for AIT-501 overhead C2 analyzer, btm heavy seen during feed composition shift. Foud anlyzr drift; cal gas failed. tightened fittings, leak test ok. readng close to dcs after job. notif made by ops, maint attended same shift.</x:v>
      </x:c>
    </x:row>
    <x:row r="206" ht="15" hidden="0" customHeight="1">
      <x:c r="A206" t="str">
        <x:v>10450205</x:v>
      </x:c>
      <x:c r="B206" t="str">
        <x:v>40870205</x:v>
      </x:c>
      <x:c r="C206" t="str">
        <x:v>2022-03-27</x:v>
      </x:c>
      <x:c r="D206" t="str">
        <x:v>2022-03-28</x:v>
      </x:c>
      <x:c r="E206" t="str">
        <x:v>2022-03-28</x:v>
      </x:c>
      <x:c r="F206" t="str">
        <x:v>U400-DEETHANIZER-500</x:v>
      </x:c>
      <x:c r="G206" t="str">
        <x:v>E-502</x:v>
      </x:c>
      <x:c r="H206" t="str">
        <x:v>deethanizer overhead condenser</x:v>
      </x:c>
      <x:c r="I206" t="str">
        <x:v>condenser</x:v>
      </x:c>
      <x:c r="J206" t="str">
        <x:v>P3</x:v>
      </x:c>
      <x:c r="K206" t="str">
        <x:v>COMP</x:v>
      </x:c>
      <x:c r="L206" t="str">
        <x:v>VALVE</x:v>
      </x:c>
      <x:c r="M206" t="str">
        <x:v>valve_stiction</x:v>
      </x:c>
      <x:c r="N206" t="str">
        <x:v>tv no travel</x:v>
      </x:c>
      <x:c r="O206" t="str">
        <x:v>VALVE</x:v>
      </x:c>
      <x:c r="P206" t="str">
        <x:v>STICK</x:v>
      </x:c>
      <x:c r="Q206" t="str">
        <x:v>N</x:v>
      </x:c>
      <x:c r="R206" t="str">
        <x:v>7.4</x:v>
      </x:c>
      <x:c r="S206" t="str">
        <x:v>2457.91</x:v>
      </x:c>
      <x:c r="T206" t="str">
        <x:v>E-502 tv no travel after upset</x:v>
      </x:c>
      <x:c r="U206" t="str">
        <x:v>C shift called for E-502 deethanizer overhead condenser, op jumps seen during valve stiction. Foud tv no travel; cooling valve stuck. History shows same complain last mnth. cleaned and put back online. readng close to dcs after job. notif made by ops, maint attended same shift.</x:v>
      </x:c>
    </x:row>
    <x:row r="207" ht="15" hidden="0" customHeight="1">
      <x:c r="A207" t="str">
        <x:v>10450206</x:v>
      </x:c>
      <x:c r="B207" t="str">
        <x:v>40870206</x:v>
      </x:c>
      <x:c r="C207" t="str">
        <x:v>2022-04-01</x:v>
      </x:c>
      <x:c r="D207" t="str">
        <x:v>2022-04-03</x:v>
      </x:c>
      <x:c r="E207" t="str">
        <x:v>2022-04-03</x:v>
      </x:c>
      <x:c r="F207" t="str">
        <x:v>U400-DEETHANIZER-500</x:v>
      </x:c>
      <x:c r="G207" t="str">
        <x:v>E-501</x:v>
      </x:c>
      <x:c r="H207" t="str">
        <x:v>deethanizer reboiler</x:v>
      </x:c>
      <x:c r="I207" t="str">
        <x:v>reboiler</x:v>
      </x:c>
      <x:c r="J207" t="str">
        <x:v>P2</x:v>
      </x:c>
      <x:c r="K207" t="str">
        <x:v>TECO</x:v>
      </x:c>
      <x:c r="L207" t="str">
        <x:v>VALVE</x:v>
      </x:c>
      <x:c r="M207" t="str">
        <x:v>reboiler_duty_loss</x:v>
      </x:c>
      <x:c r="N207" t="str">
        <x:v>circ poor</x:v>
      </x:c>
      <x:c r="O207" t="str">
        <x:v>NO_FLOW</x:v>
      </x:c>
      <x:c r="P207" t="str">
        <x:v>PLUG</x:v>
      </x:c>
      <x:c r="Q207" t="str">
        <x:v>Y</x:v>
      </x:c>
      <x:c r="R207" t="str">
        <x:v>15.0</x:v>
      </x:c>
      <x:c r="S207" t="str">
        <x:v>16553.29</x:v>
      </x:c>
      <x:c r="T207" t="str">
        <x:v>E-501 circ poor again, prod upset</x:v>
      </x:c>
      <x:c r="U207" t="str">
        <x:v>days called for E-501 deethanizer reboiler, c2 in btm seen during reboiler duty loss. Foud circ poor; blocked inlet screen. changed gasket and boxed up. need watch next feed swing. notif made by ops, maint attended same shift.</x:v>
      </x:c>
    </x:row>
    <x:row r="208" ht="15" hidden="0" customHeight="1">
      <x:c r="A208" t="str">
        <x:v>10450207</x:v>
      </x:c>
      <x:c r="B208" t="str">
        <x:v>40870207</x:v>
      </x:c>
      <x:c r="C208" t="str">
        <x:v>2022-03-31</x:v>
      </x:c>
      <x:c r="D208" t="str">
        <x:v>2022-04-01</x:v>
      </x:c>
      <x:c r="E208" t="str">
        <x:v>2022-04-15</x:v>
      </x:c>
      <x:c r="F208" t="str">
        <x:v>U400-DEETHANIZER-500</x:v>
      </x:c>
      <x:c r="G208" t="str">
        <x:v>TT-503</x:v>
      </x:c>
      <x:c r="H208" t="str">
        <x:v>reboiler outlet temperature tx</x:v>
      </x:c>
      <x:c r="I208" t="str">
        <x:v>instrument</x:v>
      </x:c>
      <x:c r="J208" t="str">
        <x:v>P2</x:v>
      </x:c>
      <x:c r="K208" t="str">
        <x:v>TECO</x:v>
      </x:c>
      <x:c r="L208" t="str">
        <x:v>OPS+INST</x:v>
      </x:c>
      <x:c r="M208" t="str">
        <x:v>reboiler_duty_loss</x:v>
      </x:c>
      <x:c r="N208" t="str">
        <x:v>range err</x:v>
      </x:c>
      <x:c r="O208" t="str">
        <x:v>SPAN</x:v>
      </x:c>
      <x:c r="P208" t="str">
        <x:v>CAL</x:v>
      </x:c>
      <x:c r="Q208" t="str">
        <x:v>Y</x:v>
      </x:c>
      <x:c r="R208" t="str">
        <x:v>11.9</x:v>
      </x:c>
      <x:c r="S208" t="str">
        <x:v>5341.55</x:v>
      </x:c>
      <x:c r="T208" t="str">
        <x:v>TT-503 range err ops req</x:v>
      </x:c>
      <x:c r="U208" t="str">
        <x:v>night called for TT-503 reboiler outlet temperature tx, rb circ cold seen during reboiler duty loss. Foud range err; span shifted. Line was hot so job done slow and with ops standing by. reset trip and monitored for 2 hrs. readng close to dcs after job. notif made by ops, maint attended same shift.</x:v>
      </x:c>
    </x:row>
    <x:row r="209" ht="15" hidden="0" customHeight="1">
      <x:c r="A209" t="str">
        <x:v>10450208</x:v>
      </x:c>
      <x:c r="B209" t="str">
        <x:v>40870208</x:v>
      </x:c>
      <x:c r="C209" t="str">
        <x:v>2022-04-03</x:v>
      </x:c>
      <x:c r="D209" t="str">
        <x:v>2022-04-04</x:v>
      </x:c>
      <x:c r="E209" t="str">
        <x:v>2022-04-05</x:v>
      </x:c>
      <x:c r="F209" t="str">
        <x:v>U400-DEETHANIZER-500</x:v>
      </x:c>
      <x:c r="G209" t="str">
        <x:v>E-502</x:v>
      </x:c>
      <x:c r="H209" t="str">
        <x:v>deethanizer overhead condenser</x:v>
      </x:c>
      <x:c r="I209" t="str">
        <x:v>condenser</x:v>
      </x:c>
      <x:c r="J209" t="str">
        <x:v>P1</x:v>
      </x:c>
      <x:c r="K209" t="str">
        <x:v>CLSD</x:v>
      </x:c>
      <x:c r="L209" t="str">
        <x:v>INST</x:v>
      </x:c>
      <x:c r="M209" t="str">
        <x:v>reboiler_duty_loss</x:v>
      </x:c>
      <x:c r="N209" t="str">
        <x:v>tube leak sus</x:v>
      </x:c>
      <x:c r="O209" t="str">
        <x:v>LEAK</x:v>
      </x:c>
      <x:c r="P209" t="str">
        <x:v>TUBE</x:v>
      </x:c>
      <x:c r="Q209" t="str">
        <x:v>N</x:v>
      </x:c>
      <x:c r="R209" t="str">
        <x:v>13.6</x:v>
      </x:c>
      <x:c r="S209" t="str">
        <x:v>7782.54</x:v>
      </x:c>
      <x:c r="T209" t="str">
        <x:v>E-502 tube leak sus bad</x:v>
      </x:c>
      <x:c r="U209" t="str">
        <x:v>B shift called for E-502 deethanizer overhead condenser, c2 in btm seen during reboiler duty loss. Foud tube leak sus; hydrotest reqd. changed gasket and boxed up. unit stable now. notif made by ops, maint attended same shift.</x:v>
      </x:c>
    </x:row>
    <x:row r="210" ht="15" hidden="0" customHeight="1">
      <x:c r="A210" t="str">
        <x:v>10450209</x:v>
      </x:c>
      <x:c r="B210" t="str">
        <x:v>40870209</x:v>
      </x:c>
      <x:c r="C210" t="str">
        <x:v>2022-04-03</x:v>
      </x:c>
      <x:c r="D210" t="str">
        <x:v>2022-04-04</x:v>
      </x:c>
      <x:c r="E210" t="str">
        <x:v>2022-04-05</x:v>
      </x:c>
      <x:c r="F210" t="str">
        <x:v>U400-DEETHANIZER-500</x:v>
      </x:c>
      <x:c r="G210" t="str">
        <x:v>PSV-501A</x:v>
      </x:c>
      <x:c r="H210" t="str">
        <x:v>column relief valve A</x:v>
      </x:c>
      <x:c r="I210" t="str">
        <x:v>relief</x:v>
      </x:c>
      <x:c r="J210" t="str">
        <x:v>P2</x:v>
      </x:c>
      <x:c r="K210" t="str">
        <x:v>CLSD</x:v>
      </x:c>
      <x:c r="L210" t="str">
        <x:v>OPS+MECH</x:v>
      </x:c>
      <x:c r="M210" t="str">
        <x:v>pressure_control_fault</x:v>
      </x:c>
      <x:c r="N210" t="str">
        <x:v>due to lift chk</x:v>
      </x:c>
      <x:c r="O210" t="str">
        <x:v>LIFT_EVENT</x:v>
      </x:c>
      <x:c r="P210" t="str">
        <x:v>PROCESS</x:v>
      </x:c>
      <x:c r="Q210" t="str">
        <x:v>Y</x:v>
      </x:c>
      <x:c r="R210" t="str">
        <x:v>17.4</x:v>
      </x:c>
      <x:c r="S210" t="str">
        <x:v>1789.57</x:v>
      </x:c>
      <x:c r="T210" t="str">
        <x:v>PSV-501A press spike, due to lift chk</x:v>
      </x:c>
      <x:c r="U210" t="str">
        <x:v>B shift called for PSV-501A column relief valve A, pshh close call seen during pressure control fault. Foud due to lift chk; after pressure excursion. No spare in store at first, used refurb one from shop. replaced positioner tubing and retuned small. temp repair only, plan shutdown job. notif made by ops, maint attended same shift.</x:v>
      </x:c>
    </x:row>
    <x:row r="211" ht="15" hidden="0" customHeight="1">
      <x:c r="A211" t="str">
        <x:v>10450210</x:v>
      </x:c>
      <x:c r="B211" t="str">
        <x:v>40870210</x:v>
      </x:c>
      <x:c r="C211" t="str">
        <x:v>2022-04-06</x:v>
      </x:c>
      <x:c r="D211" t="str">
        <x:v>2022-04-06</x:v>
      </x:c>
      <x:c r="E211" t="str">
        <x:v>2022-04-07</x:v>
      </x:c>
      <x:c r="F211" t="str">
        <x:v>U400-DEETHANIZER-500</x:v>
      </x:c>
      <x:c r="G211" t="str">
        <x:v>TT-501B</x:v>
      </x:c>
      <x:c r="H211" t="str">
        <x:v>sensitive tray temperature tx</x:v>
      </x:c>
      <x:c r="I211" t="str">
        <x:v>instrument</x:v>
      </x:c>
      <x:c r="J211" t="str">
        <x:v>P3</x:v>
      </x:c>
      <x:c r="K211" t="str">
        <x:v>COMP</x:v>
      </x:c>
      <x:c r="L211" t="str">
        <x:v>INST</x:v>
      </x:c>
      <x:c r="M211" t="str">
        <x:v>reboiler_duty_loss</x:v>
      </x:c>
      <x:c r="N211" t="str">
        <x:v>no signal</x:v>
      </x:c>
      <x:c r="O211" t="str">
        <x:v>NO_SIGNAL</x:v>
      </x:c>
      <x:c r="P211" t="str">
        <x:v>ELEC</x:v>
      </x:c>
      <x:c r="Q211" t="str">
        <x:v>N</x:v>
      </x:c>
      <x:c r="R211" t="str">
        <x:v>11.4</x:v>
      </x:c>
      <x:c r="S211" t="str">
        <x:v>4746.24</x:v>
      </x:c>
      <x:c r="T211" t="str">
        <x:v>TT-501B not ok after reboiler duty loss</x:v>
      </x:c>
      <x:c r="U211" t="str">
        <x:v>night called for TT-501B sensitive tray temperature tx, c2 in btm seen during reboiler duty loss. Foud no signal; 24v or card issue. History shows same complain last mnth. stroke tested, response better. unit stable now. notif made by ops, maint attended same shift.</x:v>
      </x:c>
    </x:row>
    <x:row r="212" ht="15" hidden="0" customHeight="1">
      <x:c r="A212" t="str">
        <x:v>10450211</x:v>
      </x:c>
      <x:c r="B212" t="str">
        <x:v>40870211</x:v>
      </x:c>
      <x:c r="C212" t="str">
        <x:v>2022-04-07</x:v>
      </x:c>
      <x:c r="D212" t="str">
        <x:v>2022-04-07</x:v>
      </x:c>
      <x:c r="E212" t="str">
        <x:v>2022-04-07</x:v>
      </x:c>
      <x:c r="F212" t="str">
        <x:v>U400-DEETHANIZER-500</x:v>
      </x:c>
      <x:c r="G212" t="str">
        <x:v>TT-501B</x:v>
      </x:c>
      <x:c r="H212" t="str">
        <x:v>sensitive tray temperature tx</x:v>
      </x:c>
      <x:c r="I212" t="str">
        <x:v>instrument</x:v>
      </x:c>
      <x:c r="J212" t="str">
        <x:v>P4</x:v>
      </x:c>
      <x:c r="K212" t="str">
        <x:v>COMP</x:v>
      </x:c>
      <x:c r="L212" t="str">
        <x:v>ANLYZR</x:v>
      </x:c>
      <x:c r="M212" t="str">
        <x:v>feed_temperature_ramp</x:v>
      </x:c>
      <x:c r="N212" t="str">
        <x:v>no signal</x:v>
      </x:c>
      <x:c r="O212" t="str">
        <x:v>NO_SIGNAL</x:v>
      </x:c>
      <x:c r="P212" t="str">
        <x:v>ELEC</x:v>
      </x:c>
      <x:c r="Q212" t="str">
        <x:v>N</x:v>
      </x:c>
      <x:c r="R212" t="str">
        <x:v>3.8</x:v>
      </x:c>
      <x:c r="S212" t="str">
        <x:v>3960.52</x:v>
      </x:c>
      <x:c r="T212" t="str">
        <x:v>TT-501B rb duty up, no signal</x:v>
      </x:c>
      <x:c r="U212" t="str">
        <x:v>A shift called for TT-501B sensitive tray temperature tx, feed temp high seen during feed temperature ramp. Foud no signal; 24v or card issue. Could not get permit first time waiting area gas test. flushed impulse/sample line. temp repair only, plan shutdown job. notif made by ops, maint attended same shift.</x:v>
      </x:c>
    </x:row>
    <x:row r="213" ht="15" hidden="0" customHeight="1">
      <x:c r="A213" t="str">
        <x:v>10450212</x:v>
      </x:c>
      <x:c r="B213" t="str">
        <x:v>40870212</x:v>
      </x:c>
      <x:c r="C213" t="str">
        <x:v>2022-04-09</x:v>
      </x:c>
      <x:c r="D213" t="str">
        <x:v>2022-04-10</x:v>
      </x:c>
      <x:c r="E213" t="str">
        <x:v>2022-04-13</x:v>
      </x:c>
      <x:c r="F213" t="str">
        <x:v>U400-DEETHANIZER-500</x:v>
      </x:c>
      <x:c r="G213" t="str">
        <x:v>T-501</x:v>
      </x:c>
      <x:c r="H213" t="str">
        <x:v>deethanizer column</x:v>
      </x:c>
      <x:c r="I213" t="str">
        <x:v>column</x:v>
      </x:c>
      <x:c r="J213" t="str">
        <x:v>P2</x:v>
      </x:c>
      <x:c r="K213" t="str">
        <x:v>CLSD</x:v>
      </x:c>
      <x:c r="L213" t="str">
        <x:v>MECH</x:v>
      </x:c>
      <x:c r="M213" t="str">
        <x:v>feed_flow_step</x:v>
      </x:c>
      <x:c r="N213" t="str">
        <x:v>weeping flange</x:v>
      </x:c>
      <x:c r="O213" t="str">
        <x:v>LEAK</x:v>
      </x:c>
      <x:c r="P213" t="str">
        <x:v>GASKET</x:v>
      </x:c>
      <x:c r="Q213" t="str">
        <x:v>N</x:v>
      </x:c>
      <x:c r="R213" t="str">
        <x:v>10.3</x:v>
      </x:c>
      <x:c r="S213" t="str">
        <x:v>5551.83</x:v>
      </x:c>
      <x:c r="T213" t="str">
        <x:v>T-501 not ok after feed flow step</x:v>
      </x:c>
      <x:c r="U213" t="str">
        <x:v>night called for T-501 deethanizer column, fic hunting seen during feed flow step. Foud weeping flange; manway/flange seep. No spare in store at first, used refurb one from shop. flushed impulse/sample line. readng close to dcs after job. notif made by ops, maint attended same shift.</x:v>
      </x:c>
    </x:row>
    <x:row r="214" ht="15" hidden="0" customHeight="1">
      <x:c r="A214" t="str">
        <x:v>10450213</x:v>
      </x:c>
      <x:c r="B214" t="str">
        <x:v>40870213</x:v>
      </x:c>
      <x:c r="C214" t="str">
        <x:v>2022-04-06</x:v>
      </x:c>
      <x:c r="D214" t="str">
        <x:v>2022-04-07</x:v>
      </x:c>
      <x:c r="E214" t="str">
        <x:v>2022-04-08</x:v>
      </x:c>
      <x:c r="F214" t="str">
        <x:v>U400-DEETHANIZER-500</x:v>
      </x:c>
      <x:c r="G214" t="str">
        <x:v>TV-502</x:v>
      </x:c>
      <x:c r="H214" t="str">
        <x:v>condenser cooling valve</x:v>
      </x:c>
      <x:c r="I214" t="str">
        <x:v>control_valve</x:v>
      </x:c>
      <x:c r="J214" t="str">
        <x:v>P3</x:v>
      </x:c>
      <x:c r="K214" t="str">
        <x:v>CLSD</x:v>
      </x:c>
      <x:c r="L214" t="str">
        <x:v>ROT</x:v>
      </x:c>
      <x:c r="M214" t="str">
        <x:v>condenser_fouling</x:v>
      </x:c>
      <x:c r="N214" t="str">
        <x:v>air leak</x:v>
      </x:c>
      <x:c r="O214" t="str">
        <x:v>AIR_LEAK</x:v>
      </x:c>
      <x:c r="P214" t="str">
        <x:v>TUBING</x:v>
      </x:c>
      <x:c r="Q214" t="str">
        <x:v>N</x:v>
      </x:c>
      <x:c r="R214" t="str">
        <x:v>9.5</x:v>
      </x:c>
      <x:c r="S214" t="str">
        <x:v>2944.82</x:v>
      </x:c>
      <x:c r="T214" t="str">
        <x:v>TV-502 high ovhd press, air leak</x:v>
      </x:c>
      <x:c r="U214" t="str">
        <x:v>C shift called for TV-502 condenser cooling valve, cw dt low seen during condenser fouling. Foud air leak; positioner supply drop. tightened fittings, leak test ok. no leak at handover. notif made by ops, maint attended same shift.</x:v>
      </x:c>
    </x:row>
    <x:row r="215" ht="15" hidden="0" customHeight="1">
      <x:c r="A215" t="str">
        <x:v>10450214</x:v>
      </x:c>
      <x:c r="B215" t="str">
        <x:v>40870214</x:v>
      </x:c>
      <x:c r="C215" t="str">
        <x:v>2022-04-08</x:v>
      </x:c>
      <x:c r="D215" t="str">
        <x:v>2022-04-10</x:v>
      </x:c>
      <x:c r="E215" t="str">
        <x:v>2022-04-13</x:v>
      </x:c>
      <x:c r="F215" t="str">
        <x:v>U400-DEETHANIZER-500</x:v>
      </x:c>
      <x:c r="G215" t="str">
        <x:v>FV-502</x:v>
      </x:c>
      <x:c r="H215" t="str">
        <x:v>reflux flow control valve</x:v>
      </x:c>
      <x:c r="I215" t="str">
        <x:v>control_valve</x:v>
      </x:c>
      <x:c r="J215" t="str">
        <x:v>P3</x:v>
      </x:c>
      <x:c r="K215" t="str">
        <x:v>COMP</x:v>
      </x:c>
      <x:c r="L215" t="str">
        <x:v>ANLYZR</x:v>
      </x:c>
      <x:c r="M215" t="str">
        <x:v>reflux_pump_degradation</x:v>
      </x:c>
      <x:c r="N215" t="str">
        <x:v>air leak</x:v>
      </x:c>
      <x:c r="O215" t="str">
        <x:v>AIR_LEAK</x:v>
      </x:c>
      <x:c r="P215" t="str">
        <x:v>TUBING</x:v>
      </x:c>
      <x:c r="Q215" t="str">
        <x:v>N</x:v>
      </x:c>
      <x:c r="R215" t="str">
        <x:v>11.3</x:v>
      </x:c>
      <x:c r="S215" t="str">
        <x:v>5035.84</x:v>
      </x:c>
      <x:c r="T215" t="str">
        <x:v>chk FV-502 - air leak frm ops</x:v>
      </x:c>
      <x:c r="U215" t="str">
        <x:v>C shift called for FV-502 reflux flow control valve, min flow hot seen during reflux pump degradation. Foud air leak; positioner supply drop. Tag plate dirty, confirmd by line up with panel. replaced positioner tubing and retuned small. still little hunting but acceptable. notif made by ops, maint attended same shift.</x:v>
      </x:c>
    </x:row>
    <x:row r="216" ht="15" hidden="0" customHeight="1">
      <x:c r="A216" t="str">
        <x:v>10450215</x:v>
      </x:c>
      <x:c r="B216" t="str">
        <x:v>40870215</x:v>
      </x:c>
      <x:c r="C216" t="str">
        <x:v>2022-04-13</x:v>
      </x:c>
      <x:c r="D216" t="str">
        <x:v>2022-04-13</x:v>
      </x:c>
      <x:c r="E216" t="str">
        <x:v>2022-04-13</x:v>
      </x:c>
      <x:c r="F216" t="str">
        <x:v>U400-DEETHANIZER-500</x:v>
      </x:c>
      <x:c r="G216" t="str">
        <x:v>T-501</x:v>
      </x:c>
      <x:c r="H216" t="str">
        <x:v>deethanizer column</x:v>
      </x:c>
      <x:c r="I216" t="str">
        <x:v>column</x:v>
      </x:c>
      <x:c r="J216" t="str">
        <x:v>P3</x:v>
      </x:c>
      <x:c r="K216" t="str">
        <x:v>TECO</x:v>
      </x:c>
      <x:c r="L216" t="str">
        <x:v>ANLYZR</x:v>
      </x:c>
      <x:c r="M216" t="str">
        <x:v>feed_flow_step</x:v>
      </x:c>
      <x:c r="N216" t="str">
        <x:v>tray temp bad</x:v>
      </x:c>
      <x:c r="O216" t="str">
        <x:v>TEMP_DEV</x:v>
      </x:c>
      <x:c r="P216" t="str">
        <x:v>PROCESS</x:v>
      </x:c>
      <x:c r="Q216" t="str">
        <x:v>N</x:v>
      </x:c>
      <x:c r="R216" t="str">
        <x:v>17.8</x:v>
      </x:c>
      <x:c r="S216" t="str">
        <x:v>1694.67</x:v>
      </x:c>
      <x:c r="T216" t="str">
        <x:v>T-501 tray temp bad bad</x:v>
      </x:c>
      <x:c r="U216" t="str">
        <x:v>B shift called for T-501 deethanizer column, c2 recov down seen during feed flow step. Foud tray temp bad; profile not normal. No spare in store at first, used refurb one from shop. stroke tested, response better. ops says ok for now. notif made by ops, maint attended same shift.</x:v>
      </x:c>
    </x:row>
    <x:row r="217" ht="15" hidden="0" customHeight="1">
      <x:c r="A217" t="str">
        <x:v>10450216</x:v>
      </x:c>
      <x:c r="B217" t="str">
        <x:v>40870216</x:v>
      </x:c>
      <x:c r="C217" t="str">
        <x:v>2022-04-10</x:v>
      </x:c>
      <x:c r="D217" t="str">
        <x:v>2022-04-10</x:v>
      </x:c>
      <x:c r="E217" t="str">
        <x:v>2022-04-11</x:v>
      </x:c>
      <x:c r="F217" t="str">
        <x:v>U400-DEETHANIZER-500</x:v>
      </x:c>
      <x:c r="G217" t="str">
        <x:v>FV-501</x:v>
      </x:c>
      <x:c r="H217" t="str">
        <x:v>feed flow control valve</x:v>
      </x:c>
      <x:c r="I217" t="str">
        <x:v>control_valve</x:v>
      </x:c>
      <x:c r="J217" t="str">
        <x:v>P3</x:v>
      </x:c>
      <x:c r="K217" t="str">
        <x:v>TECO</x:v>
      </x:c>
      <x:c r="L217" t="str">
        <x:v>ROT</x:v>
      </x:c>
      <x:c r="M217" t="str">
        <x:v>feed_flow_step</x:v>
      </x:c>
      <x:c r="N217" t="str">
        <x:v>stiction</x:v>
      </x:c>
      <x:c r="O217" t="str">
        <x:v>STICK</x:v>
      </x:c>
      <x:c r="P217" t="str">
        <x:v>PACKING</x:v>
      </x:c>
      <x:c r="Q217" t="str">
        <x:v>N</x:v>
      </x:c>
      <x:c r="R217" t="str">
        <x:v>17.7</x:v>
      </x:c>
      <x:c r="S217" t="str">
        <x:v>4878.32</x:v>
      </x:c>
      <x:c r="T217" t="str">
        <x:v>chk FV-501 - stiction frm ops</x:v>
      </x:c>
      <x:c r="U217" t="str">
        <x:v>B shift called for FV-501 feed flow ctrl valve, column dp high seen during feed flow step. Foud stiction; stem sticky and pos err. Line was hot so job done slow and with ops standing by. replaced positioner tubing and retuned small. need watch next feed swing. notif made by ops, maint attended same shift.</x:v>
      </x:c>
    </x:row>
    <x:row r="218" ht="15" hidden="0" customHeight="1">
      <x:c r="A218" t="str">
        <x:v>10450217</x:v>
      </x:c>
      <x:c r="B218" t="str">
        <x:v>40870217</x:v>
      </x:c>
      <x:c r="C218" t="str">
        <x:v>2022-04-13</x:v>
      </x:c>
      <x:c r="D218" t="str">
        <x:v>2022-04-13</x:v>
      </x:c>
      <x:c r="E218" t="str">
        <x:v>2022-04-14</x:v>
      </x:c>
      <x:c r="F218" t="str">
        <x:v>U400-DEETHANIZER-500</x:v>
      </x:c>
      <x:c r="G218" t="str">
        <x:v>TV-501</x:v>
      </x:c>
      <x:c r="H218" t="str">
        <x:v>reboiler hot medium valve</x:v>
      </x:c>
      <x:c r="I218" t="str">
        <x:v>control_valve</x:v>
      </x:c>
      <x:c r="J218" t="str">
        <x:v>P3</x:v>
      </x:c>
      <x:c r="K218" t="str">
        <x:v>COMP</x:v>
      </x:c>
      <x:c r="L218" t="str">
        <x:v>VALVE</x:v>
      </x:c>
      <x:c r="M218" t="str">
        <x:v>valve_stiction</x:v>
      </x:c>
      <x:c r="N218" t="str">
        <x:v>passing</x:v>
      </x:c>
      <x:c r="O218" t="str">
        <x:v>LEAK_BY</x:v>
      </x:c>
      <x:c r="P218" t="str">
        <x:v>SEAT</x:v>
      </x:c>
      <x:c r="Q218" t="str">
        <x:v>N</x:v>
      </x:c>
      <x:c r="R218" t="str">
        <x:v>6.8</x:v>
      </x:c>
      <x:c r="S218" t="str">
        <x:v>6444.36</x:v>
      </x:c>
      <x:c r="T218" t="str">
        <x:v>TV-501 passing again, prod upset</x:v>
      </x:c>
      <x:c r="U218" t="str">
        <x:v>A shift called for TV-501 reboiler hot medium valve, op jumps seen during valve stiction. Foud passing; seat leak by. swapped to standby and repaired. temp repair only, plan shutdown job. notif made by ops, maint attended same shift.</x:v>
      </x:c>
    </x:row>
    <x:row r="219" ht="15" hidden="0" customHeight="1">
      <x:c r="A219" t="str">
        <x:v>10450218</x:v>
      </x:c>
      <x:c r="B219" t="str">
        <x:v>40870218</x:v>
      </x:c>
      <x:c r="C219" t="str">
        <x:v>2022-04-15</x:v>
      </x:c>
      <x:c r="D219" t="str">
        <x:v>2022-04-15</x:v>
      </x:c>
      <x:c r="E219" t="str">
        <x:v>2022-04-17</x:v>
      </x:c>
      <x:c r="F219" t="str">
        <x:v>U400-DEETHANIZER-500</x:v>
      </x:c>
      <x:c r="G219" t="str">
        <x:v>TV-502</x:v>
      </x:c>
      <x:c r="H219" t="str">
        <x:v>condenser cooling valve</x:v>
      </x:c>
      <x:c r="I219" t="str">
        <x:v>control_valve</x:v>
      </x:c>
      <x:c r="J219" t="str">
        <x:v>P3</x:v>
      </x:c>
      <x:c r="K219" t="str">
        <x:v>TECO</x:v>
      </x:c>
      <x:c r="L219" t="str">
        <x:v>ANLYZR</x:v>
      </x:c>
      <x:c r="M219" t="str">
        <x:v>feed_temperature_ramp</x:v>
      </x:c>
      <x:c r="N219" t="str">
        <x:v>hunting loop</x:v>
      </x:c>
      <x:c r="O219" t="str">
        <x:v>CTRL_OSC</x:v>
      </x:c>
      <x:c r="P219" t="str">
        <x:v>TUNE</x:v>
      </x:c>
      <x:c r="Q219" t="str">
        <x:v>N</x:v>
      </x:c>
      <x:c r="R219" t="str">
        <x:v>8.8</x:v>
      </x:c>
      <x:c r="S219" t="str">
        <x:v>5664.23</x:v>
      </x:c>
      <x:c r="T219" t="str">
        <x:v>TV-502 hunting loop again, prod upset</x:v>
      </x:c>
      <x:c r="U219" t="str">
        <x:v>days called for TV-502 condenser cooling vavle, ovhd press moving seen during feed temperature ramp. Foud hunting loop; bad response after upset. History shows same complain last mnth. swapped to standby and repaired. readng close to dcs after job. notif made by ops, maint attended same shift.</x:v>
      </x:c>
    </x:row>
    <x:row r="220" ht="15" hidden="0" customHeight="1">
      <x:c r="A220" t="str">
        <x:v>10450219</x:v>
      </x:c>
      <x:c r="B220" t="str">
        <x:v>40870219</x:v>
      </x:c>
      <x:c r="C220" t="str">
        <x:v>2022-04-19</x:v>
      </x:c>
      <x:c r="D220" t="str">
        <x:v>2022-04-20</x:v>
      </x:c>
      <x:c r="E220" t="str">
        <x:v>2022-04-27</x:v>
      </x:c>
      <x:c r="F220" t="str">
        <x:v>U400-DEETHANIZER-500</x:v>
      </x:c>
      <x:c r="G220" t="str">
        <x:v>PT-501</x:v>
      </x:c>
      <x:c r="H220" t="str">
        <x:v>column overhead pressure tx</x:v>
      </x:c>
      <x:c r="I220" t="str">
        <x:v>instrument</x:v>
      </x:c>
      <x:c r="J220" t="str">
        <x:v>P2</x:v>
      </x:c>
      <x:c r="K220" t="str">
        <x:v>COMP</x:v>
      </x:c>
      <x:c r="L220" t="str">
        <x:v>E&amp;I</x:v>
      </x:c>
      <x:c r="M220" t="str">
        <x:v>condenser_fouling</x:v>
      </x:c>
      <x:c r="N220" t="str">
        <x:v>impulse plugged</x:v>
      </x:c>
      <x:c r="O220" t="str">
        <x:v>PLUG</x:v>
      </x:c>
      <x:c r="P220" t="str">
        <x:v>PROCESS</x:v>
      </x:c>
      <x:c r="Q220" t="str">
        <x:v>N</x:v>
      </x:c>
      <x:c r="R220" t="str">
        <x:v>17.4</x:v>
      </x:c>
      <x:c r="S220" t="str">
        <x:v>5072.52</x:v>
      </x:c>
      <x:c r="T220" t="str">
        <x:v>PT-501 impulse plugged noisy</x:v>
      </x:c>
      <x:c r="U220" t="str">
        <x:v>B shift called for PT-501 column overhead pressure tx, pic wide open seen during condnsr fouling. Foud impulse plugged; tap/line dirty. Could not get permit first time waiting area gas test. stroke tested, response better. readng close to dcs after job. notif made by ops, maint attended same shift.</x:v>
      </x:c>
    </x:row>
    <x:row r="221" ht="15" hidden="0" customHeight="1">
      <x:c r="A221" t="str">
        <x:v>10450220</x:v>
      </x:c>
      <x:c r="B221" t="str">
        <x:v>40870220</x:v>
      </x:c>
      <x:c r="C221" t="str">
        <x:v>2022-04-16</x:v>
      </x:c>
      <x:c r="D221" t="str">
        <x:v>2022-04-16</x:v>
      </x:c>
      <x:c r="E221" t="str">
        <x:v>2022-04-17</x:v>
      </x:c>
      <x:c r="F221" t="str">
        <x:v>U400-DEETHANIZER-500</x:v>
      </x:c>
      <x:c r="G221" t="str">
        <x:v>P-501B</x:v>
      </x:c>
      <x:c r="H221" t="str">
        <x:v>reflux pump B</x:v>
      </x:c>
      <x:c r="I221" t="str">
        <x:v>pump</x:v>
      </x:c>
      <x:c r="J221" t="str">
        <x:v>P1</x:v>
      </x:c>
      <x:c r="K221" t="str">
        <x:v>COMP</x:v>
      </x:c>
      <x:c r="L221" t="str">
        <x:v>E&amp;I</x:v>
      </x:c>
      <x:c r="M221" t="str">
        <x:v>reflux_pump_degradation</x:v>
      </x:c>
      <x:c r="N221" t="str">
        <x:v>bearing hot</x:v>
      </x:c>
      <x:c r="O221" t="str">
        <x:v>BRG</x:v>
      </x:c>
      <x:c r="P221" t="str">
        <x:v>WEAR</x:v>
      </x:c>
      <x:c r="Q221" t="str">
        <x:v>N</x:v>
      </x:c>
      <x:c r="R221" t="str">
        <x:v>7.4</x:v>
      </x:c>
      <x:c r="S221" t="str">
        <x:v>7919.05</x:v>
      </x:c>
      <x:c r="T221" t="str">
        <x:v>P-501B bearing hot again, prod upset</x:v>
      </x:c>
      <x:c r="U221" t="str">
        <x:v>night called for P-501B reflux pump B, seal weep seen during reflux pump degradation. Foud bearing hot; brg rough, lube dark. Tag plate dirty, confirmd by line up with panel. replaced positioner tubing and retuned small. no leak at handover. notif made by ops, maint attended same shift.</x:v>
      </x:c>
    </x:row>
    <x:row r="222" ht="15" hidden="0" customHeight="1">
      <x:c r="A222" t="str">
        <x:v>10450221</x:v>
      </x:c>
      <x:c r="B222" t="str">
        <x:v>40870221</x:v>
      </x:c>
      <x:c r="C222" t="str">
        <x:v>2022-04-18</x:v>
      </x:c>
      <x:c r="D222" t="str">
        <x:v>2022-04-19</x:v>
      </x:c>
      <x:c r="E222" t="str">
        <x:v>2022-04-20</x:v>
      </x:c>
      <x:c r="F222" t="str">
        <x:v>U400-DEETHANIZER-500</x:v>
      </x:c>
      <x:c r="G222" t="str">
        <x:v>E-502</x:v>
      </x:c>
      <x:c r="H222" t="str">
        <x:v>deethanizer overhead condenser</x:v>
      </x:c>
      <x:c r="I222" t="str">
        <x:v>condenser</x:v>
      </x:c>
      <x:c r="J222" t="str">
        <x:v>P3</x:v>
      </x:c>
      <x:c r="K222" t="str">
        <x:v>CLSD</x:v>
      </x:c>
      <x:c r="L222" t="str">
        <x:v>E&amp;I</x:v>
      </x:c>
      <x:c r="M222" t="str">
        <x:v>condenser_fouling</x:v>
      </x:c>
      <x:c r="N222" t="str">
        <x:v>cw fouling</x:v>
      </x:c>
      <x:c r="O222" t="str">
        <x:v>FOULING</x:v>
      </x:c>
      <x:c r="P222" t="str">
        <x:v>UTILITY</x:v>
      </x:c>
      <x:c r="Q222" t="str">
        <x:v>N</x:v>
      </x:c>
      <x:c r="R222" t="str">
        <x:v>7.7</x:v>
      </x:c>
      <x:c r="S222" t="str">
        <x:v>1951.53</x:v>
      </x:c>
      <x:c r="T222" t="str">
        <x:v>E-502 not ok after condenser fouling</x:v>
      </x:c>
      <x:c r="U222" t="str">
        <x:v>night called for E-502 deethanizer overhead condenser, drum temp hi seen during condenser fouling. Foud cw fouling; cw side scaled. tightened fittings, leak test ok. need watch next feed swing. notif made by ops, maint attended same shift.</x:v>
      </x:c>
    </x:row>
    <x:row r="223" ht="15" hidden="0" customHeight="1">
      <x:c r="A223" t="str">
        <x:v>10450222</x:v>
      </x:c>
      <x:c r="B223" t="str">
        <x:v>40870222</x:v>
      </x:c>
      <x:c r="C223" t="str">
        <x:v>2022-04-20</x:v>
      </x:c>
      <x:c r="D223" t="str">
        <x:v>2022-04-20</x:v>
      </x:c>
      <x:c r="E223" t="str">
        <x:v>2022-04-23</x:v>
      </x:c>
      <x:c r="F223" t="str">
        <x:v>U400-DEETHANIZER-500</x:v>
      </x:c>
      <x:c r="G223" t="str">
        <x:v>P-501A</x:v>
      </x:c>
      <x:c r="H223" t="str">
        <x:v>reflux pump A</x:v>
      </x:c>
      <x:c r="I223" t="str">
        <x:v>pump</x:v>
      </x:c>
      <x:c r="J223" t="str">
        <x:v>P1</x:v>
      </x:c>
      <x:c r="K223" t="str">
        <x:v>COMP</x:v>
      </x:c>
      <x:c r="L223" t="str">
        <x:v>INST</x:v>
      </x:c>
      <x:c r="M223" t="str">
        <x:v>feed_flow_step</x:v>
      </x:c>
      <x:c r="N223" t="str">
        <x:v>bearing hot</x:v>
      </x:c>
      <x:c r="O223" t="str">
        <x:v>BRG</x:v>
      </x:c>
      <x:c r="P223" t="str">
        <x:v>WEAR</x:v>
      </x:c>
      <x:c r="Q223" t="str">
        <x:v>Y</x:v>
      </x:c>
      <x:c r="R223" t="str">
        <x:v>16.8</x:v>
      </x:c>
      <x:c r="S223" t="str">
        <x:v>1638.42</x:v>
      </x:c>
      <x:c r="T223" t="str">
        <x:v>P-501A bearing hot again, prod upset</x:v>
      </x:c>
      <x:c r="U223" t="str">
        <x:v>C shift called for P-501A reflux pump A, feed jump seen during feed flow step. Foud bearing hot; brg rough, lube dark. calibrated, loop checked with CCR. need watch next feed swing. notif made by ops, maint attended same shift.</x:v>
      </x:c>
    </x:row>
    <x:row r="224" ht="15" hidden="0" customHeight="1">
      <x:c r="A224" t="str">
        <x:v>10450223</x:v>
      </x:c>
      <x:c r="B224" t="str">
        <x:v>40870223</x:v>
      </x:c>
      <x:c r="C224" t="str">
        <x:v>2022-04-23</x:v>
      </x:c>
      <x:c r="D224" t="str">
        <x:v>2022-04-23</x:v>
      </x:c>
      <x:c r="E224" t="str">
        <x:v>2022-04-23</x:v>
      </x:c>
      <x:c r="F224" t="str">
        <x:v>U400-DEETHANIZER-500</x:v>
      </x:c>
      <x:c r="G224" t="str">
        <x:v>E-503</x:v>
      </x:c>
      <x:c r="H224" t="str">
        <x:v>feed bottoms exchanger</x:v>
      </x:c>
      <x:c r="I224" t="str">
        <x:v>exchanger</x:v>
      </x:c>
      <x:c r="J224" t="str">
        <x:v>P4</x:v>
      </x:c>
      <x:c r="K224" t="str">
        <x:v>COMP</x:v>
      </x:c>
      <x:c r="L224" t="str">
        <x:v>OPS+MECH</x:v>
      </x:c>
      <x:c r="M224" t="str">
        <x:v>valve_stiction</x:v>
      </x:c>
      <x:c r="N224" t="str">
        <x:v>gasket weep</x:v>
      </x:c>
      <x:c r="O224" t="str">
        <x:v>LEAK</x:v>
      </x:c>
      <x:c r="P224" t="str">
        <x:v>GASKET</x:v>
      </x:c>
      <x:c r="Q224" t="str">
        <x:v>N</x:v>
      </x:c>
      <x:c r="R224" t="str">
        <x:v>2.3</x:v>
      </x:c>
      <x:c r="S224" t="str">
        <x:v>7784.23</x:v>
      </x:c>
      <x:c r="T224" t="str">
        <x:v>E-503 gasket weep again, prod upset</x:v>
      </x:c>
      <x:c r="U224" t="str">
        <x:v>B shift called for E-503 feed bottoms exchanger, valve sticking seen during valve stiction. Foud gasket weep; flange sweating. changed gasket and boxed up. temp repair only, plan shutdown job. notif made by ops, maint attended same shift.</x:v>
      </x:c>
    </x:row>
    <x:row r="225" ht="15" hidden="0" customHeight="1">
      <x:c r="A225" t="str">
        <x:v>10450224</x:v>
      </x:c>
      <x:c r="B225" t="str">
        <x:v>40870224</x:v>
      </x:c>
      <x:c r="C225" t="str">
        <x:v>2022-04-27</x:v>
      </x:c>
      <x:c r="D225" t="str">
        <x:v>2022-04-27</x:v>
      </x:c>
      <x:c r="E225" t="str">
        <x:v>2022-04-28</x:v>
      </x:c>
      <x:c r="F225" t="str">
        <x:v>U400-DEETHANIZER-500</x:v>
      </x:c>
      <x:c r="G225" t="str">
        <x:v>PT-501</x:v>
      </x:c>
      <x:c r="H225" t="str">
        <x:v>column overhead pressure tx</x:v>
      </x:c>
      <x:c r="I225" t="str">
        <x:v>instrument</x:v>
      </x:c>
      <x:c r="J225" t="str">
        <x:v>P4</x:v>
      </x:c>
      <x:c r="K225" t="str">
        <x:v>COMP</x:v>
      </x:c>
      <x:c r="L225" t="str">
        <x:v>INST</x:v>
      </x:c>
      <x:c r="M225" t="str">
        <x:v>reflux_pump_degradation</x:v>
      </x:c>
      <x:c r="N225" t="str">
        <x:v>loose wire</x:v>
      </x:c>
      <x:c r="O225" t="str">
        <x:v>SIGNAL</x:v>
      </x:c>
      <x:c r="P225" t="str">
        <x:v>ELEC</x:v>
      </x:c>
      <x:c r="Q225" t="str">
        <x:v>N</x:v>
      </x:c>
      <x:c r="R225" t="str">
        <x:v>5.0</x:v>
      </x:c>
      <x:c r="S225" t="str">
        <x:v>884.67</x:v>
      </x:c>
      <x:c r="T225" t="str">
        <x:v>chk PT-501 - loose wire frm ops</x:v>
      </x:c>
      <x:c r="U225" t="str">
        <x:v>days called for PT-501 column overhead pressure tx, disch press low seen during reflux pump degradation. Foud loose wire; term loose. History shows same complain last mnth. swapped to standby and repaired. still little hunting but acceptable. notif made by ops, maint attended same shift.</x:v>
      </x:c>
    </x:row>
    <x:row r="226" ht="15" hidden="0" customHeight="1">
      <x:c r="A226" t="str">
        <x:v>10450225</x:v>
      </x:c>
      <x:c r="B226" t="str">
        <x:v>40870225</x:v>
      </x:c>
      <x:c r="C226" t="str">
        <x:v>2022-04-29</x:v>
      </x:c>
      <x:c r="D226" t="str">
        <x:v>2022-04-29</x:v>
      </x:c>
      <x:c r="E226" t="str">
        <x:v>2022-04-29</x:v>
      </x:c>
      <x:c r="F226" t="str">
        <x:v>U400-DEETHANIZER-500</x:v>
      </x:c>
      <x:c r="G226" t="str">
        <x:v>P-502B</x:v>
      </x:c>
      <x:c r="H226" t="str">
        <x:v>bottoms pump B</x:v>
      </x:c>
      <x:c r="I226" t="str">
        <x:v>pump</x:v>
      </x:c>
      <x:c r="J226" t="str">
        <x:v>P3</x:v>
      </x:c>
      <x:c r="K226" t="str">
        <x:v>TECO</x:v>
      </x:c>
      <x:c r="L226" t="str">
        <x:v>ANLYZR</x:v>
      </x:c>
      <x:c r="M226" t="str">
        <x:v>valve_stiction</x:v>
      </x:c>
      <x:c r="N226" t="str">
        <x:v>low disch press</x:v>
      </x:c>
      <x:c r="O226" t="str">
        <x:v>HYD_LOSS</x:v>
      </x:c>
      <x:c r="P226" t="str">
        <x:v>FOUL</x:v>
      </x:c>
      <x:c r="Q226" t="str">
        <x:v>N</x:v>
      </x:c>
      <x:c r="R226" t="str">
        <x:v>8.3</x:v>
      </x:c>
      <x:c r="S226" t="str">
        <x:v>15130.36</x:v>
      </x:c>
      <x:c r="T226" t="str">
        <x:v>P-502B low disch press again, prod upset</x:v>
      </x:c>
      <x:c r="U226" t="str">
        <x:v>A shift called for P-502B bottoms pump B, air leak seen during valve stiction. Foud low disch press; strainer dirty or impeller wear. No spare in store at first, used refurb one from shop. flushed impulse/sample line. unit stable now. notif made by ops, maint attended same shift.</x:v>
      </x:c>
    </x:row>
    <x:row r="227" ht="15" hidden="0" customHeight="1">
      <x:c r="A227" t="str">
        <x:v>10450226</x:v>
      </x:c>
      <x:c r="B227" t="str">
        <x:v>40870226</x:v>
      </x:c>
      <x:c r="C227" t="str">
        <x:v>2022-04-27</x:v>
      </x:c>
      <x:c r="D227" t="str">
        <x:v>2022-04-27</x:v>
      </x:c>
      <x:c r="E227" t="str">
        <x:v>2022-04-28</x:v>
      </x:c>
      <x:c r="F227" t="str">
        <x:v>U400-DEETHANIZER-500</x:v>
      </x:c>
      <x:c r="G227" t="str">
        <x:v>T-501</x:v>
      </x:c>
      <x:c r="H227" t="str">
        <x:v>deethanizer column</x:v>
      </x:c>
      <x:c r="I227" t="str">
        <x:v>column</x:v>
      </x:c>
      <x:c r="J227" t="str">
        <x:v>P3</x:v>
      </x:c>
      <x:c r="K227" t="str">
        <x:v>TECO</x:v>
      </x:c>
      <x:c r="L227" t="str">
        <x:v>OPS+MECH</x:v>
      </x:c>
      <x:c r="M227" t="str">
        <x:v>feed_composition_shift</x:v>
      </x:c>
      <x:c r="N227" t="str">
        <x:v>weeping flange</x:v>
      </x:c>
      <x:c r="O227" t="str">
        <x:v>LEAK</x:v>
      </x:c>
      <x:c r="P227" t="str">
        <x:v>GASKET</x:v>
      </x:c>
      <x:c r="Q227" t="str">
        <x:v>N</x:v>
      </x:c>
      <x:c r="R227" t="str">
        <x:v>13.0</x:v>
      </x:c>
      <x:c r="S227" t="str">
        <x:v>4356.29</x:v>
      </x:c>
      <x:c r="T227" t="str">
        <x:v>T-501 weeping flange noisy</x:v>
      </x:c>
      <x:c r="U227" t="str">
        <x:v>night called for T-501 deethanizer column, ovhd c3 slip seen during feed composition shift. Foud weeping flange; manway/flange seep. History shows same complain last mnth. changed gasket and boxed up. readng close to dcs after job. notif made by ops, maint attended same shift.</x:v>
      </x:c>
    </x:row>
    <x:row r="228" ht="15" hidden="0" customHeight="1">
      <x:c r="A228" t="str">
        <x:v>10450227</x:v>
      </x:c>
      <x:c r="B228" t="str">
        <x:v>40870227</x:v>
      </x:c>
      <x:c r="C228" t="str">
        <x:v>2022-05-01</x:v>
      </x:c>
      <x:c r="D228" t="str">
        <x:v>2022-05-01</x:v>
      </x:c>
      <x:c r="E228" t="str">
        <x:v>2022-05-01</x:v>
      </x:c>
      <x:c r="F228" t="str">
        <x:v>U400-DEETHANIZER-500</x:v>
      </x:c>
      <x:c r="G228" t="str">
        <x:v>FT-502</x:v>
      </x:c>
      <x:c r="H228" t="str">
        <x:v>reflux flow transmitter</x:v>
      </x:c>
      <x:c r="I228" t="str">
        <x:v>instrument</x:v>
      </x:c>
      <x:c r="J228" t="str">
        <x:v>P2</x:v>
      </x:c>
      <x:c r="K228" t="str">
        <x:v>TECO</x:v>
      </x:c>
      <x:c r="L228" t="str">
        <x:v>E&amp;I</x:v>
      </x:c>
      <x:c r="M228" t="str">
        <x:v>reflux_pump_degradation</x:v>
      </x:c>
      <x:c r="N228" t="str">
        <x:v>impulse plugged</x:v>
      </x:c>
      <x:c r="O228" t="str">
        <x:v>PLUG</x:v>
      </x:c>
      <x:c r="P228" t="str">
        <x:v>PROCESS</x:v>
      </x:c>
      <x:c r="Q228" t="str">
        <x:v>N</x:v>
      </x:c>
      <x:c r="R228" t="str">
        <x:v>4.2</x:v>
      </x:c>
      <x:c r="S228" t="str">
        <x:v>175.08</x:v>
      </x:c>
      <x:c r="T228" t="str">
        <x:v>FT-502 not ok after reflux pump degradation</x:v>
      </x:c>
      <x:c r="U228" t="str">
        <x:v>days called for FT-502 reflux flow transmitter, min flow hot seen during reflux pump degradation. Foud impulse plugged; tap/line dirty. opened strainer, cleaned black sludge. readng close to dcs after job. notif made by ops, maint attended same shift.</x:v>
      </x:c>
    </x:row>
    <x:row r="229" ht="15" hidden="0" customHeight="1">
      <x:c r="A229" t="str">
        <x:v>10450228</x:v>
      </x:c>
      <x:c r="B229" t="str">
        <x:v>40870228</x:v>
      </x:c>
      <x:c r="C229" t="str">
        <x:v>2022-04-30</x:v>
      </x:c>
      <x:c r="D229" t="str">
        <x:v>2022-04-30</x:v>
      </x:c>
      <x:c r="E229" t="str">
        <x:v>2022-05-14</x:v>
      </x:c>
      <x:c r="F229" t="str">
        <x:v>U400-DEETHANIZER-500</x:v>
      </x:c>
      <x:c r="G229" t="str">
        <x:v>TV-501</x:v>
      </x:c>
      <x:c r="H229" t="str">
        <x:v>reboiler hot medium valve</x:v>
      </x:c>
      <x:c r="I229" t="str">
        <x:v>control_valve</x:v>
      </x:c>
      <x:c r="J229" t="str">
        <x:v>P3</x:v>
      </x:c>
      <x:c r="K229" t="str">
        <x:v>CLSD</x:v>
      </x:c>
      <x:c r="L229" t="str">
        <x:v>MECH</x:v>
      </x:c>
      <x:c r="M229" t="str">
        <x:v>feed_temperature_ramp</x:v>
      </x:c>
      <x:c r="N229" t="str">
        <x:v>hunting loop</x:v>
      </x:c>
      <x:c r="O229" t="str">
        <x:v>CTRL_OSC</x:v>
      </x:c>
      <x:c r="P229" t="str">
        <x:v>TUNE</x:v>
      </x:c>
      <x:c r="Q229" t="str">
        <x:v>N</x:v>
      </x:c>
      <x:c r="R229" t="str">
        <x:v>12.0</x:v>
      </x:c>
      <x:c r="S229" t="str">
        <x:v>3889.22</x:v>
      </x:c>
      <x:c r="T229" t="str">
        <x:v>TV-501 hunting loop bad</x:v>
      </x:c>
      <x:c r="U229" t="str">
        <x:v>C shift called for TV-501 reboiler hot medium valve, tray temp drift seen during feed temp ramp. Foud hunting loop; bad response after upset. changed gasket and boxed up. need watch next feed swing. notif made by ops, maint attended same shift.</x:v>
      </x:c>
    </x:row>
    <x:row r="230" ht="15" hidden="0" customHeight="1">
      <x:c r="A230" t="str">
        <x:v>10450229</x:v>
      </x:c>
      <x:c r="B230" t="str">
        <x:v>40870229</x:v>
      </x:c>
      <x:c r="C230" t="str">
        <x:v>2022-04-30</x:v>
      </x:c>
      <x:c r="D230" t="str">
        <x:v>2022-04-30</x:v>
      </x:c>
      <x:c r="E230" t="str">
        <x:v>2022-05-01</x:v>
      </x:c>
      <x:c r="F230" t="str">
        <x:v>U400-DEETHANIZER-500</x:v>
      </x:c>
      <x:c r="G230" t="str">
        <x:v>P-501B</x:v>
      </x:c>
      <x:c r="H230" t="str">
        <x:v>reflux pump B</x:v>
      </x:c>
      <x:c r="I230" t="str">
        <x:v>pump</x:v>
      </x:c>
      <x:c r="J230" t="str">
        <x:v>P2</x:v>
      </x:c>
      <x:c r="K230" t="str">
        <x:v>TECO</x:v>
      </x:c>
      <x:c r="L230" t="str">
        <x:v>INST</x:v>
      </x:c>
      <x:c r="M230" t="str">
        <x:v>reflux_pump_degradation</x:v>
      </x:c>
      <x:c r="N230" t="str">
        <x:v>bearing hot</x:v>
      </x:c>
      <x:c r="O230" t="str">
        <x:v>BRG</x:v>
      </x:c>
      <x:c r="P230" t="str">
        <x:v>WEAR</x:v>
      </x:c>
      <x:c r="Q230" t="str">
        <x:v>N</x:v>
      </x:c>
      <x:c r="R230" t="str">
        <x:v>4.3</x:v>
      </x:c>
      <x:c r="S230" t="str">
        <x:v>14322.45</x:v>
      </x:c>
      <x:c r="T230" t="str">
        <x:v>chk P-501B - bearing hot frm ops</x:v>
      </x:c>
      <x:c r="U230" t="str">
        <x:v>A shift called for P-501B reflux pump B, disch press low seen during reflux pump degradation. Foud bearing hot; brg rough, lube dark. No spare in store at first, used refurb one from shop. tightened fittings, leak test ok. no leak at handover. notif made by ops, maint attended same shift.</x:v>
      </x:c>
    </x:row>
    <x:row r="231" ht="15" hidden="0" customHeight="1">
      <x:c r="A231" t="str">
        <x:v>10450230</x:v>
      </x:c>
      <x:c r="B231" t="str">
        <x:v>40870230</x:v>
      </x:c>
      <x:c r="C231" t="str">
        <x:v>2022-05-01</x:v>
      </x:c>
      <x:c r="D231" t="str">
        <x:v>2022-05-01</x:v>
      </x:c>
      <x:c r="E231" t="str">
        <x:v>2022-05-03</x:v>
      </x:c>
      <x:c r="F231" t="str">
        <x:v>U400-DEETHANIZER-500</x:v>
      </x:c>
      <x:c r="G231" t="str">
        <x:v>P-501A</x:v>
      </x:c>
      <x:c r="H231" t="str">
        <x:v>reflux pump A</x:v>
      </x:c>
      <x:c r="I231" t="str">
        <x:v>pump</x:v>
      </x:c>
      <x:c r="J231" t="str">
        <x:v>P2</x:v>
      </x:c>
      <x:c r="K231" t="str">
        <x:v>CLSD</x:v>
      </x:c>
      <x:c r="L231" t="str">
        <x:v>OPS+INST</x:v>
      </x:c>
      <x:c r="M231" t="str">
        <x:v>normal_wear</x:v>
      </x:c>
      <x:c r="N231" t="str">
        <x:v>motor trip</x:v>
      </x:c>
      <x:c r="O231" t="str">
        <x:v>MOTOR</x:v>
      </x:c>
      <x:c r="P231" t="str">
        <x:v>ELEC</x:v>
      </x:c>
      <x:c r="Q231" t="str">
        <x:v>N</x:v>
      </x:c>
      <x:c r="R231" t="str">
        <x:v>3.5</x:v>
      </x:c>
      <x:c r="S231" t="str">
        <x:v>10991.14</x:v>
      </x:c>
      <x:c r="T231" t="str">
        <x:v>P-501A not ok after normal wear</x:v>
      </x:c>
      <x:c r="U231" t="str">
        <x:v>C shift called for P-501A reflux pump A, loose term seen during normal wear. Foud motor trip; overload trip after upset. reset trip and monitored for 2 hrs. temp repair only, plan shutdown job. notif made by ops, maint attended same shift.</x:v>
      </x:c>
    </x:row>
    <x:row r="232" ht="15" hidden="0" customHeight="1">
      <x:c r="A232" t="str">
        <x:v>10450231</x:v>
      </x:c>
      <x:c r="B232" t="str">
        <x:v>40870231</x:v>
      </x:c>
      <x:c r="C232" t="str">
        <x:v>2022-05-03</x:v>
      </x:c>
      <x:c r="D232" t="str">
        <x:v>2022-05-03</x:v>
      </x:c>
      <x:c r="E232" t="str">
        <x:v>2022-05-08</x:v>
      </x:c>
      <x:c r="F232" t="str">
        <x:v>U400-DEETHANIZER-500</x:v>
      </x:c>
      <x:c r="G232" t="str">
        <x:v>E-502</x:v>
      </x:c>
      <x:c r="H232" t="str">
        <x:v>deethanizer overhead condenser</x:v>
      </x:c>
      <x:c r="I232" t="str">
        <x:v>condenser</x:v>
      </x:c>
      <x:c r="J232" t="str">
        <x:v>P3</x:v>
      </x:c>
      <x:c r="K232" t="str">
        <x:v>CLSD</x:v>
      </x:c>
      <x:c r="L232" t="str">
        <x:v>ANLYZR</x:v>
      </x:c>
      <x:c r="M232" t="str">
        <x:v>condenser_fouling</x:v>
      </x:c>
      <x:c r="N232" t="str">
        <x:v>tube leak sus</x:v>
      </x:c>
      <x:c r="O232" t="str">
        <x:v>LEAK</x:v>
      </x:c>
      <x:c r="P232" t="str">
        <x:v>TUBE</x:v>
      </x:c>
      <x:c r="Q232" t="str">
        <x:v>N</x:v>
      </x:c>
      <x:c r="R232" t="str">
        <x:v>6.2</x:v>
      </x:c>
      <x:c r="S232" t="str">
        <x:v>1257.0</x:v>
      </x:c>
      <x:c r="T232" t="str">
        <x:v>E-502 not ok after condenser fouling</x:v>
      </x:c>
      <x:c r="U232" t="str">
        <x:v>A shift called for E-502 deethanizer overhead condnsr, drum temp hi seen during condnsr fouling. Foud tube leak sus; hydrotest reqd. tightened fittings, leak test ok. temp repair only, plan shutdown job. notif made by ops, maint attended same shift.</x:v>
      </x:c>
    </x:row>
    <x:row r="233" ht="15" hidden="0" customHeight="1">
      <x:c r="A233" t="str">
        <x:v>10450232</x:v>
      </x:c>
      <x:c r="B233" t="str">
        <x:v>40870232</x:v>
      </x:c>
      <x:c r="C233" t="str">
        <x:v>2022-05-05</x:v>
      </x:c>
      <x:c r="D233" t="str">
        <x:v>2022-05-06</x:v>
      </x:c>
      <x:c r="E233" t="str">
        <x:v>2022-05-07</x:v>
      </x:c>
      <x:c r="F233" t="str">
        <x:v>U400-DEETHANIZER-500</x:v>
      </x:c>
      <x:c r="G233" t="str">
        <x:v>FV-502</x:v>
      </x:c>
      <x:c r="H233" t="str">
        <x:v>reflux flow control valve</x:v>
      </x:c>
      <x:c r="I233" t="str">
        <x:v>control_valve</x:v>
      </x:c>
      <x:c r="J233" t="str">
        <x:v>P3</x:v>
      </x:c>
      <x:c r="K233" t="str">
        <x:v>COMP</x:v>
      </x:c>
      <x:c r="L233" t="str">
        <x:v>INST</x:v>
      </x:c>
      <x:c r="M233" t="str">
        <x:v>reflux_pump_degradation</x:v>
      </x:c>
      <x:c r="N233" t="str">
        <x:v>stiction</x:v>
      </x:c>
      <x:c r="O233" t="str">
        <x:v>STICK</x:v>
      </x:c>
      <x:c r="P233" t="str">
        <x:v>PACKING</x:v>
      </x:c>
      <x:c r="Q233" t="str">
        <x:v>N</x:v>
      </x:c>
      <x:c r="R233" t="str">
        <x:v>15.2</x:v>
      </x:c>
      <x:c r="S233" t="str">
        <x:v>2166.13</x:v>
      </x:c>
      <x:c r="T233" t="str">
        <x:v>FV-502 not ok after reflux pump degradation</x:v>
      </x:c>
      <x:c r="U233" t="str">
        <x:v>days called for FV-502 reflux flow control valve, min flow hot seen during reflux pump degradation. Foud stiction; stem sticky and pos err. reset trip and monitored for 2 hrs. need watch next feed swing. notif made by ops, maint attended same shift.</x:v>
      </x:c>
    </x:row>
    <x:row r="234" ht="15" hidden="0" customHeight="1">
      <x:c r="A234" t="str">
        <x:v>10450233</x:v>
      </x:c>
      <x:c r="B234" t="str">
        <x:v>40870233</x:v>
      </x:c>
      <x:c r="C234" t="str">
        <x:v>2022-05-05</x:v>
      </x:c>
      <x:c r="D234" t="str">
        <x:v>2022-05-06</x:v>
      </x:c>
      <x:c r="E234" t="str">
        <x:v>2022-05-06</x:v>
      </x:c>
      <x:c r="F234" t="str">
        <x:v>U400-DEETHANIZER-500</x:v>
      </x:c>
      <x:c r="G234" t="str">
        <x:v>FT-502</x:v>
      </x:c>
      <x:c r="H234" t="str">
        <x:v>reflux flow transmitter</x:v>
      </x:c>
      <x:c r="I234" t="str">
        <x:v>instrument</x:v>
      </x:c>
      <x:c r="J234" t="str">
        <x:v>P3</x:v>
      </x:c>
      <x:c r="K234" t="str">
        <x:v>CLSD</x:v>
      </x:c>
      <x:c r="L234" t="str">
        <x:v>INST</x:v>
      </x:c>
      <x:c r="M234" t="str">
        <x:v>reflux_pump_degradation</x:v>
      </x:c>
      <x:c r="N234" t="str">
        <x:v>impulse plugged</x:v>
      </x:c>
      <x:c r="O234" t="str">
        <x:v>PLUG</x:v>
      </x:c>
      <x:c r="P234" t="str">
        <x:v>PROCESS</x:v>
      </x:c>
      <x:c r="Q234" t="str">
        <x:v>N</x:v>
      </x:c>
      <x:c r="R234" t="str">
        <x:v>4.6</x:v>
      </x:c>
      <x:c r="S234" t="str">
        <x:v>3907.27</x:v>
      </x:c>
      <x:c r="T234" t="str">
        <x:v>FT-502 not ok after reflux pump degradation</x:v>
      </x:c>
      <x:c r="U234" t="str">
        <x:v>C shift called for FT-502 reflux flow transmitter, low reflux seen during reflux pump degradation. Foud impulse plugged; tap/line dirty. Tag plate dirty, confirmd by line up with panel. cleaned and put back online. temp repair only, plan shutdown job. notif made by ops, maint attended same shift.</x:v>
      </x:c>
    </x:row>
    <x:row r="235" ht="15" hidden="0" customHeight="1">
      <x:c r="A235" t="str">
        <x:v>10450234</x:v>
      </x:c>
      <x:c r="B235" t="str">
        <x:v>40870234</x:v>
      </x:c>
      <x:c r="C235" t="str">
        <x:v>2022-05-09</x:v>
      </x:c>
      <x:c r="D235" t="str">
        <x:v>2022-05-09</x:v>
      </x:c>
      <x:c r="E235" t="str">
        <x:v>2022-05-10</x:v>
      </x:c>
      <x:c r="F235" t="str">
        <x:v>U400-DEETHANIZER-500</x:v>
      </x:c>
      <x:c r="G235" t="str">
        <x:v>AIT-501</x:v>
      </x:c>
      <x:c r="H235" t="str">
        <x:v>overhead C2 analyzer</x:v>
      </x:c>
      <x:c r="I235" t="str">
        <x:v>analyzer</x:v>
      </x:c>
      <x:c r="J235" t="str">
        <x:v>P4</x:v>
      </x:c>
      <x:c r="K235" t="str">
        <x:v>COMP</x:v>
      </x:c>
      <x:c r="L235" t="str">
        <x:v>E&amp;I</x:v>
      </x:c>
      <x:c r="M235" t="str">
        <x:v>feed_composition_shift</x:v>
      </x:c>
      <x:c r="N235" t="str">
        <x:v>condensate in sample</x:v>
      </x:c>
      <x:c r="O235" t="str">
        <x:v>LIQ_CARRY</x:v>
      </x:c>
      <x:c r="P235" t="str">
        <x:v>SAMPLE</x:v>
      </x:c>
      <x:c r="Q235" t="str">
        <x:v>N</x:v>
      </x:c>
      <x:c r="R235" t="str">
        <x:v>1.8</x:v>
      </x:c>
      <x:c r="S235" t="str">
        <x:v>1087.84</x:v>
      </x:c>
      <x:c r="T235" t="str">
        <x:v>AIT-501 condensate in sample again, prod upset</x:v>
      </x:c>
      <x:c r="U235" t="str">
        <x:v>B shift called for AIT-501 overhead C2 analyzer, anlyzr off seen during feed composition shift. Foud condensate in sample; knockout pot full. tightened fittings, leak test ok. unit stable now. notif made by ops, maint attended same shift.</x:v>
      </x:c>
    </x:row>
    <x:row r="236" ht="15" hidden="0" customHeight="1">
      <x:c r="A236" t="str">
        <x:v>10450235</x:v>
      </x:c>
      <x:c r="B236" t="str">
        <x:v>40870235</x:v>
      </x:c>
      <x:c r="C236" t="str">
        <x:v>2022-05-11</x:v>
      </x:c>
      <x:c r="D236" t="str">
        <x:v>2022-05-13</x:v>
      </x:c>
      <x:c r="E236" t="str">
        <x:v>2022-05-13</x:v>
      </x:c>
      <x:c r="F236" t="str">
        <x:v>U400-DEETHANIZER-500</x:v>
      </x:c>
      <x:c r="G236" t="str">
        <x:v>PT-501</x:v>
      </x:c>
      <x:c r="H236" t="str">
        <x:v>column overhead pressure tx</x:v>
      </x:c>
      <x:c r="I236" t="str">
        <x:v>instrument</x:v>
      </x:c>
      <x:c r="J236" t="str">
        <x:v>P3</x:v>
      </x:c>
      <x:c r="K236" t="str">
        <x:v>COMP</x:v>
      </x:c>
      <x:c r="L236" t="str">
        <x:v>ANLYZR</x:v>
      </x:c>
      <x:c r="M236" t="str">
        <x:v>pressure_control_fault</x:v>
      </x:c>
      <x:c r="N236" t="str">
        <x:v>range err</x:v>
      </x:c>
      <x:c r="O236" t="str">
        <x:v>SPAN</x:v>
      </x:c>
      <x:c r="P236" t="str">
        <x:v>CAL</x:v>
      </x:c>
      <x:c r="Q236" t="str">
        <x:v>N</x:v>
      </x:c>
      <x:c r="R236" t="str">
        <x:v>10.5</x:v>
      </x:c>
      <x:c r="S236" t="str">
        <x:v>6621.07</x:v>
      </x:c>
      <x:c r="T236" t="str">
        <x:v>PT-501 not ok after pressure control fault</x:v>
      </x:c>
      <x:c r="U236" t="str">
        <x:v>night called for PT-501 column overhead pressure tx, press spike seen during pressure control fault. Foud range err; span shifted. reset trip and monitored for 2 hrs. still little hunting but acceptable. notif made by ops, maint attended same shift.</x:v>
      </x:c>
    </x:row>
    <x:row r="237" ht="15" hidden="0" customHeight="1">
      <x:c r="A237" t="str">
        <x:v>10450236</x:v>
      </x:c>
      <x:c r="B237" t="str">
        <x:v>40870236</x:v>
      </x:c>
      <x:c r="C237" t="str">
        <x:v>2022-05-11</x:v>
      </x:c>
      <x:c r="D237" t="str">
        <x:v>2022-05-12</x:v>
      </x:c>
      <x:c r="E237" t="str">
        <x:v>2022-05-14</x:v>
      </x:c>
      <x:c r="F237" t="str">
        <x:v>U400-DEETHANIZER-500</x:v>
      </x:c>
      <x:c r="G237" t="str">
        <x:v>TV-501</x:v>
      </x:c>
      <x:c r="H237" t="str">
        <x:v>reboiler hot medium valve</x:v>
      </x:c>
      <x:c r="I237" t="str">
        <x:v>control_valve</x:v>
      </x:c>
      <x:c r="J237" t="str">
        <x:v>P3</x:v>
      </x:c>
      <x:c r="K237" t="str">
        <x:v>COMP</x:v>
      </x:c>
      <x:c r="L237" t="str">
        <x:v>ROT</x:v>
      </x:c>
      <x:c r="M237" t="str">
        <x:v>reboiler_duty_loss</x:v>
      </x:c>
      <x:c r="N237" t="str">
        <x:v>air leak</x:v>
      </x:c>
      <x:c r="O237" t="str">
        <x:v>AIR_LEAK</x:v>
      </x:c>
      <x:c r="P237" t="str">
        <x:v>TUBING</x:v>
      </x:c>
      <x:c r="Q237" t="str">
        <x:v>N</x:v>
      </x:c>
      <x:c r="R237" t="str">
        <x:v>14.2</x:v>
      </x:c>
      <x:c r="S237" t="str">
        <x:v>4789.43</x:v>
      </x:c>
      <x:c r="T237" t="str">
        <x:v>TV-501 not ok after reboiler duty loss</x:v>
      </x:c>
      <x:c r="U237" t="str">
        <x:v>B shift called for TV-501 reboiler hot medium vavle, c2 in btm seen during reboiler duty loss. Foud air leak; positioner supply drop. calibrated, loop checked with CCR. still little hunting but acceptable. notif made by ops, maint attended same shift.</x:v>
      </x:c>
    </x:row>
    <x:row r="238" ht="15" hidden="0" customHeight="1">
      <x:c r="A238" t="str">
        <x:v>10450237</x:v>
      </x:c>
      <x:c r="B238" t="str">
        <x:v>40870237</x:v>
      </x:c>
      <x:c r="C238" t="str">
        <x:v>2022-05-14</x:v>
      </x:c>
      <x:c r="D238" t="str">
        <x:v>2022-05-14</x:v>
      </x:c>
      <x:c r="E238" t="str">
        <x:v>2022-05-16</x:v>
      </x:c>
      <x:c r="F238" t="str">
        <x:v>U400-DEETHANIZER-500</x:v>
      </x:c>
      <x:c r="G238" t="str">
        <x:v>PSV-501B</x:v>
      </x:c>
      <x:c r="H238" t="str">
        <x:v>column relief valve B</x:v>
      </x:c>
      <x:c r="I238" t="str">
        <x:v>relief</x:v>
      </x:c>
      <x:c r="J238" t="str">
        <x:v>P4</x:v>
      </x:c>
      <x:c r="K238" t="str">
        <x:v>TECO</x:v>
      </x:c>
      <x:c r="L238" t="str">
        <x:v>VALVE</x:v>
      </x:c>
      <x:c r="M238" t="str">
        <x:v>pressure_control_fault</x:v>
      </x:c>
      <x:c r="N238" t="str">
        <x:v>seat passing</x:v>
      </x:c>
      <x:c r="O238" t="str">
        <x:v>LEAK_BY</x:v>
      </x:c>
      <x:c r="P238" t="str">
        <x:v>SEAT</x:v>
      </x:c>
      <x:c r="Q238" t="str">
        <x:v>N</x:v>
      </x:c>
      <x:c r="R238" t="str">
        <x:v>13.9</x:v>
      </x:c>
      <x:c r="S238" t="str">
        <x:v>1697.78</x:v>
      </x:c>
      <x:c r="T238" t="str">
        <x:v>PSV-501B seat passing asap</x:v>
      </x:c>
      <x:c r="U238" t="str">
        <x:v>B shift called for PSV-501B column relief valve B, pshh close call seen during pressure control fault. Foud seat passing; tail pipe warm. History shows same complain last mnth. cleaned and put back online. need watch next feed swing. notif made by ops, maint attended same shift.</x:v>
      </x:c>
    </x:row>
    <x:row r="239" ht="15" hidden="0" customHeight="1">
      <x:c r="A239" t="str">
        <x:v>10450238</x:v>
      </x:c>
      <x:c r="B239" t="str">
        <x:v>40870238</x:v>
      </x:c>
      <x:c r="C239" t="str">
        <x:v>2022-05-14</x:v>
      </x:c>
      <x:c r="D239" t="str">
        <x:v>2022-05-14</x:v>
      </x:c>
      <x:c r="E239" t="str">
        <x:v>2022-05-15</x:v>
      </x:c>
      <x:c r="F239" t="str">
        <x:v>U400-DEETHANIZER-500</x:v>
      </x:c>
      <x:c r="G239" t="str">
        <x:v>P-501A</x:v>
      </x:c>
      <x:c r="H239" t="str">
        <x:v>reflux pump A</x:v>
      </x:c>
      <x:c r="I239" t="str">
        <x:v>pump</x:v>
      </x:c>
      <x:c r="J239" t="str">
        <x:v>P2</x:v>
      </x:c>
      <x:c r="K239" t="str">
        <x:v>COMP</x:v>
      </x:c>
      <x:c r="L239" t="str">
        <x:v>VALVE</x:v>
      </x:c>
      <x:c r="M239" t="str">
        <x:v>reflux_pump_degradation</x:v>
      </x:c>
      <x:c r="N239" t="str">
        <x:v>vib high</x:v>
      </x:c>
      <x:c r="O239" t="str">
        <x:v>VIB</x:v>
      </x:c>
      <x:c r="P239" t="str">
        <x:v>ALIGN</x:v>
      </x:c>
      <x:c r="Q239" t="str">
        <x:v>N</x:v>
      </x:c>
      <x:c r="R239" t="str">
        <x:v>2.3</x:v>
      </x:c>
      <x:c r="S239" t="str">
        <x:v>2072.1</x:v>
      </x:c>
      <x:c r="T239" t="str">
        <x:v>P-501A not ok after reflux pump degradation</x:v>
      </x:c>
      <x:c r="U239" t="str">
        <x:v>A shift called for P-501A reflux pump A, disch press low seen during reflux pump degradation. Foud vib high; coupling align or cavitation. opened strainer, cleaned black sludge. still little hunting but acceptable. notif made by ops, maint attended same shift.</x:v>
      </x:c>
    </x:row>
    <x:row r="240" ht="15" hidden="0" customHeight="1">
      <x:c r="A240" t="str">
        <x:v>10450239</x:v>
      </x:c>
      <x:c r="B240" t="str">
        <x:v>40870239</x:v>
      </x:c>
      <x:c r="C240" t="str">
        <x:v>2022-05-16</x:v>
      </x:c>
      <x:c r="D240" t="str">
        <x:v>2022-05-18</x:v>
      </x:c>
      <x:c r="E240" t="str">
        <x:v>2022-05-19</x:v>
      </x:c>
      <x:c r="F240" t="str">
        <x:v>U400-DEETHANIZER-500</x:v>
      </x:c>
      <x:c r="G240" t="str">
        <x:v>FV-501</x:v>
      </x:c>
      <x:c r="H240" t="str">
        <x:v>feed flow control valve</x:v>
      </x:c>
      <x:c r="I240" t="str">
        <x:v>control_valve</x:v>
      </x:c>
      <x:c r="J240" t="str">
        <x:v>P3</x:v>
      </x:c>
      <x:c r="K240" t="str">
        <x:v>COMP</x:v>
      </x:c>
      <x:c r="L240" t="str">
        <x:v>OPS+MECH</x:v>
      </x:c>
      <x:c r="M240" t="str">
        <x:v>valve_stiction</x:v>
      </x:c>
      <x:c r="N240" t="str">
        <x:v>stiction</x:v>
      </x:c>
      <x:c r="O240" t="str">
        <x:v>STICK</x:v>
      </x:c>
      <x:c r="P240" t="str">
        <x:v>PACKING</x:v>
      </x:c>
      <x:c r="Q240" t="str">
        <x:v>N</x:v>
      </x:c>
      <x:c r="R240" t="str">
        <x:v>7.7</x:v>
      </x:c>
      <x:c r="S240" t="str">
        <x:v>4885.79</x:v>
      </x:c>
      <x:c r="T240" t="str">
        <x:v>FV-501 stiction bad</x:v>
      </x:c>
      <x:c r="U240" t="str">
        <x:v>C shift called for FV-501 feed flow control valve, op jumps seen during valve stiction. Foud stiction; stem sticky and pos err. tightened fittings, leak test ok. readng close to dcs after job. notif made by ops, maint attended same shift.</x:v>
      </x:c>
    </x:row>
    <x:row r="241" ht="15" hidden="0" customHeight="1">
      <x:c r="A241" t="str">
        <x:v>10450240</x:v>
      </x:c>
      <x:c r="B241" t="str">
        <x:v>40870240</x:v>
      </x:c>
      <x:c r="C241" t="str">
        <x:v>2022-05-15</x:v>
      </x:c>
      <x:c r="D241" t="str">
        <x:v>2022-05-16</x:v>
      </x:c>
      <x:c r="E241" t="str">
        <x:v>2022-05-17</x:v>
      </x:c>
      <x:c r="F241" t="str">
        <x:v>U400-DEETHANIZER-500</x:v>
      </x:c>
      <x:c r="G241" t="str">
        <x:v>TT-503</x:v>
      </x:c>
      <x:c r="H241" t="str">
        <x:v>reboiler outlet temperature tx</x:v>
      </x:c>
      <x:c r="I241" t="str">
        <x:v>instrument</x:v>
      </x:c>
      <x:c r="J241" t="str">
        <x:v>P3</x:v>
      </x:c>
      <x:c r="K241" t="str">
        <x:v>TECO</x:v>
      </x:c>
      <x:c r="L241" t="str">
        <x:v>ANLYZR</x:v>
      </x:c>
      <x:c r="M241" t="str">
        <x:v>normal_wear</x:v>
      </x:c>
      <x:c r="N241" t="str">
        <x:v>range err</x:v>
      </x:c>
      <x:c r="O241" t="str">
        <x:v>SPAN</x:v>
      </x:c>
      <x:c r="P241" t="str">
        <x:v>CAL</x:v>
      </x:c>
      <x:c r="Q241" t="str">
        <x:v>N</x:v>
      </x:c>
      <x:c r="R241" t="str">
        <x:v>16.8</x:v>
      </x:c>
      <x:c r="S241" t="str">
        <x:v>6590.36</x:v>
      </x:c>
      <x:c r="T241" t="str">
        <x:v>TT-503 range err again, prod upset</x:v>
      </x:c>
      <x:c r="U241" t="str">
        <x:v>C shift called for TT-503 reboiler outlet temperature tx, plugged impulse seen during normal wear. Foud range err; span shifted. changed gasket and boxed up. unit stable now. notif made by ops, maint attended same shift.</x:v>
      </x:c>
    </x:row>
    <x:row r="242" ht="15" hidden="0" customHeight="1">
      <x:c r="A242" t="str">
        <x:v>10450241</x:v>
      </x:c>
      <x:c r="B242" t="str">
        <x:v>40870241</x:v>
      </x:c>
      <x:c r="C242" t="str">
        <x:v>2022-05-20</x:v>
      </x:c>
      <x:c r="D242" t="str">
        <x:v>2022-05-21</x:v>
      </x:c>
      <x:c r="E242" t="str">
        <x:v>2022-05-26</x:v>
      </x:c>
      <x:c r="F242" t="str">
        <x:v>U400-DEETHANIZER-500</x:v>
      </x:c>
      <x:c r="G242" t="str">
        <x:v>FV-502</x:v>
      </x:c>
      <x:c r="H242" t="str">
        <x:v>reflux flow control valve</x:v>
      </x:c>
      <x:c r="I242" t="str">
        <x:v>control_valve</x:v>
      </x:c>
      <x:c r="J242" t="str">
        <x:v>P3</x:v>
      </x:c>
      <x:c r="K242" t="str">
        <x:v>TECO</x:v>
      </x:c>
      <x:c r="L242" t="str">
        <x:v>INST</x:v>
      </x:c>
      <x:c r="M242" t="str">
        <x:v>valve_stiction</x:v>
      </x:c>
      <x:c r="N242" t="str">
        <x:v>passing</x:v>
      </x:c>
      <x:c r="O242" t="str">
        <x:v>LEAK_BY</x:v>
      </x:c>
      <x:c r="P242" t="str">
        <x:v>SEAT</x:v>
      </x:c>
      <x:c r="Q242" t="str">
        <x:v>N</x:v>
      </x:c>
      <x:c r="R242" t="str">
        <x:v>16.8</x:v>
      </x:c>
      <x:c r="S242" t="str">
        <x:v>2495.85</x:v>
      </x:c>
      <x:c r="T242" t="str">
        <x:v>FV-502 loop cycling, passing</x:v>
      </x:c>
      <x:c r="U242" t="str">
        <x:v>A shift called for FV-502 reflux flow control valve, loop cycling seen during valve stiction. Foud passing; seat leak by. cleaned and put back online. readng close to dcs after job. notif made by ops, maint attended same shift.</x:v>
      </x:c>
    </x:row>
    <x:row r="243" ht="15" hidden="0" customHeight="1">
      <x:c r="A243" t="str">
        <x:v>10450242</x:v>
      </x:c>
      <x:c r="B243" t="str">
        <x:v>40870242</x:v>
      </x:c>
      <x:c r="C243" t="str">
        <x:v>2022-05-20</x:v>
      </x:c>
      <x:c r="D243" t="str">
        <x:v>2022-05-21</x:v>
      </x:c>
      <x:c r="E243" t="str">
        <x:v>2022-05-21</x:v>
      </x:c>
      <x:c r="F243" t="str">
        <x:v>U400-DEETHANIZER-500</x:v>
      </x:c>
      <x:c r="G243" t="str">
        <x:v>P-502A</x:v>
      </x:c>
      <x:c r="H243" t="str">
        <x:v>bottoms pump A</x:v>
      </x:c>
      <x:c r="I243" t="str">
        <x:v>pump</x:v>
      </x:c>
      <x:c r="J243" t="str">
        <x:v>P2</x:v>
      </x:c>
      <x:c r="K243" t="str">
        <x:v>CLSD</x:v>
      </x:c>
      <x:c r="L243" t="str">
        <x:v>E&amp;I</x:v>
      </x:c>
      <x:c r="M243" t="str">
        <x:v>feed_temperature_ramp</x:v>
      </x:c>
      <x:c r="N243" t="str">
        <x:v>motor trip</x:v>
      </x:c>
      <x:c r="O243" t="str">
        <x:v>MOTOR</x:v>
      </x:c>
      <x:c r="P243" t="str">
        <x:v>ELEC</x:v>
      </x:c>
      <x:c r="Q243" t="str">
        <x:v>Y</x:v>
      </x:c>
      <x:c r="R243" t="str">
        <x:v>13.2</x:v>
      </x:c>
      <x:c r="S243" t="str">
        <x:v>5821.76</x:v>
      </x:c>
      <x:c r="T243" t="str">
        <x:v>P-502A motor trip bad</x:v>
      </x:c>
      <x:c r="U243" t="str">
        <x:v>C shift called for P-502A bottoms pump A, spec off seen during feed temperature ramp. Foud motor trip; overload trip after upset. Tag plate dirty, confirmd by line up with panel. swapped to standby and repaired. temp repair only, plan shutdown job. notif made by ops, maint attended same shift.</x:v>
      </x:c>
    </x:row>
    <x:row r="244" ht="15" hidden="0" customHeight="1">
      <x:c r="A244" t="str">
        <x:v>10450243</x:v>
      </x:c>
      <x:c r="B244" t="str">
        <x:v>40870243</x:v>
      </x:c>
      <x:c r="C244" t="str">
        <x:v>2022-05-22</x:v>
      </x:c>
      <x:c r="D244" t="str">
        <x:v>2022-05-23</x:v>
      </x:c>
      <x:c r="E244" t="str">
        <x:v>2022-05-24</x:v>
      </x:c>
      <x:c r="F244" t="str">
        <x:v>U400-DEETHANIZER-500</x:v>
      </x:c>
      <x:c r="G244" t="str">
        <x:v>LT-501</x:v>
      </x:c>
      <x:c r="H244" t="str">
        <x:v>reflux drum level tx</x:v>
      </x:c>
      <x:c r="I244" t="str">
        <x:v>instrument</x:v>
      </x:c>
      <x:c r="J244" t="str">
        <x:v>P2</x:v>
      </x:c>
      <x:c r="K244" t="str">
        <x:v>CLSD</x:v>
      </x:c>
      <x:c r="L244" t="str">
        <x:v>E&amp;I</x:v>
      </x:c>
      <x:c r="M244" t="str">
        <x:v>normal_wear</x:v>
      </x:c>
      <x:c r="N244" t="str">
        <x:v>no signal</x:v>
      </x:c>
      <x:c r="O244" t="str">
        <x:v>NO_SIGNAL</x:v>
      </x:c>
      <x:c r="P244" t="str">
        <x:v>ELEC</x:v>
      </x:c>
      <x:c r="Q244" t="str">
        <x:v>N</x:v>
      </x:c>
      <x:c r="R244" t="str">
        <x:v>2.3</x:v>
      </x:c>
      <x:c r="S244" t="str">
        <x:v>3874.04</x:v>
      </x:c>
      <x:c r="T244" t="str">
        <x:v>LT-501 no signal again, prod upset</x:v>
      </x:c>
      <x:c r="U244" t="str">
        <x:v>A shift called for LT-501 reflux drum level tx, loose term seen during normal wear. Foud no signal; 24v or card issue. stroke tested, response better. readng close to dcs after job. notif made by ops, maint attended same shift.</x:v>
      </x:c>
    </x:row>
    <x:row r="245" ht="15" hidden="0" customHeight="1">
      <x:c r="A245" t="str">
        <x:v>10450244</x:v>
      </x:c>
      <x:c r="B245" t="str">
        <x:v>40870244</x:v>
      </x:c>
      <x:c r="C245" t="str">
        <x:v>2022-05-26</x:v>
      </x:c>
      <x:c r="D245" t="str">
        <x:v>2022-05-27</x:v>
      </x:c>
      <x:c r="E245" t="str">
        <x:v>2022-05-28</x:v>
      </x:c>
      <x:c r="F245" t="str">
        <x:v>U400-DEETHANIZER-500</x:v>
      </x:c>
      <x:c r="G245" t="str">
        <x:v>V-501</x:v>
      </x:c>
      <x:c r="H245" t="str">
        <x:v>deethanizer reflux drum</x:v>
      </x:c>
      <x:c r="I245" t="str">
        <x:v>vessel</x:v>
      </x:c>
      <x:c r="J245" t="str">
        <x:v>P1</x:v>
      </x:c>
      <x:c r="K245" t="str">
        <x:v>COMP</x:v>
      </x:c>
      <x:c r="L245" t="str">
        <x:v>MECH</x:v>
      </x:c>
      <x:c r="M245" t="str">
        <x:v>reboiler_duty_loss</x:v>
      </x:c>
      <x:c r="N245" t="str">
        <x:v>boot drain leak</x:v>
      </x:c>
      <x:c r="O245" t="str">
        <x:v>LEAK</x:v>
      </x:c>
      <x:c r="P245" t="str">
        <x:v>VALVE</x:v>
      </x:c>
      <x:c r="Q245" t="str">
        <x:v>Y</x:v>
      </x:c>
      <x:c r="R245" t="str">
        <x:v>13.7</x:v>
      </x:c>
      <x:c r="S245" t="str">
        <x:v>3533.76</x:v>
      </x:c>
      <x:c r="T245" t="str">
        <x:v>V-501 boot drain leak again, prod upset</x:v>
      </x:c>
      <x:c r="U245" t="str">
        <x:v>A shift called for V-501 deethanizer reflux drum, tray temp low seen during reboiler duty loss. Foud boot drain leak; closed drain valve passing. No spare in store at first, used refurb one from shop. calibrated, loop chekd with CCR. temp repair only, plan shutdown job. notif made by ops, maint attended same shift.</x:v>
      </x:c>
    </x:row>
    <x:row r="246" ht="15" hidden="0" customHeight="1">
      <x:c r="A246" t="str">
        <x:v>10450245</x:v>
      </x:c>
      <x:c r="B246" t="str">
        <x:v>40870245</x:v>
      </x:c>
      <x:c r="C246" t="str">
        <x:v>2022-05-23</x:v>
      </x:c>
      <x:c r="D246" t="str">
        <x:v>2022-05-24</x:v>
      </x:c>
      <x:c r="E246" t="str">
        <x:v>2022-05-25</x:v>
      </x:c>
      <x:c r="F246" t="str">
        <x:v>U400-DEETHANIZER-500</x:v>
      </x:c>
      <x:c r="G246" t="str">
        <x:v>TV-501</x:v>
      </x:c>
      <x:c r="H246" t="str">
        <x:v>reboiler hot medium valve</x:v>
      </x:c>
      <x:c r="I246" t="str">
        <x:v>control_valve</x:v>
      </x:c>
      <x:c r="J246" t="str">
        <x:v>P2</x:v>
      </x:c>
      <x:c r="K246" t="str">
        <x:v>COMP</x:v>
      </x:c>
      <x:c r="L246" t="str">
        <x:v>ANLYZR</x:v>
      </x:c>
      <x:c r="M246" t="str">
        <x:v>valve_stiction</x:v>
      </x:c>
      <x:c r="N246" t="str">
        <x:v>not stroking</x:v>
      </x:c>
      <x:c r="O246" t="str">
        <x:v>NO_TRAVEL</x:v>
      </x:c>
      <x:c r="P246" t="str">
        <x:v>ACT</x:v>
      </x:c>
      <x:c r="Q246" t="str">
        <x:v>Y</x:v>
      </x:c>
      <x:c r="R246" t="str">
        <x:v>21.5</x:v>
      </x:c>
      <x:c r="S246" t="str">
        <x:v>1128.82</x:v>
      </x:c>
      <x:c r="T246" t="str">
        <x:v>TV-501 not stroking again, prod upset</x:v>
      </x:c>
      <x:c r="U246" t="str">
        <x:v>C shift called for TV-501 reboiler hot medium valve, loop cycling seen during valve stiction. Foud not stroking; actuator weak. No spare in store at first, used refurb one from shop. calibrated, loop checked with CCR. readng close to dcs after job. notif made by ops, maint attended same shift.</x:v>
      </x:c>
    </x:row>
    <x:row r="247" ht="15" hidden="0" customHeight="1">
      <x:c r="A247" t="str">
        <x:v>10450246</x:v>
      </x:c>
      <x:c r="B247" t="str">
        <x:v>40870246</x:v>
      </x:c>
      <x:c r="C247" t="str">
        <x:v>2022-05-25</x:v>
      </x:c>
      <x:c r="D247" t="str">
        <x:v>2022-05-27</x:v>
      </x:c>
      <x:c r="E247" t="str">
        <x:v>2022-05-27</x:v>
      </x:c>
      <x:c r="F247" t="str">
        <x:v>U400-DEETHANIZER-500</x:v>
      </x:c>
      <x:c r="G247" t="str">
        <x:v>LT-501</x:v>
      </x:c>
      <x:c r="H247" t="str">
        <x:v>reflux drum level tx</x:v>
      </x:c>
      <x:c r="I247" t="str">
        <x:v>instrument</x:v>
      </x:c>
      <x:c r="J247" t="str">
        <x:v>P3</x:v>
      </x:c>
      <x:c r="K247" t="str">
        <x:v>CLSD</x:v>
      </x:c>
      <x:c r="L247" t="str">
        <x:v>ANLYZR</x:v>
      </x:c>
      <x:c r="M247" t="str">
        <x:v>reboiler_duty_loss</x:v>
      </x:c>
      <x:c r="N247" t="str">
        <x:v>no signal</x:v>
      </x:c>
      <x:c r="O247" t="str">
        <x:v>NO_SIGNAL</x:v>
      </x:c>
      <x:c r="P247" t="str">
        <x:v>ELEC</x:v>
      </x:c>
      <x:c r="Q247" t="str">
        <x:v>N</x:v>
      </x:c>
      <x:c r="R247" t="str">
        <x:v>7.5</x:v>
      </x:c>
      <x:c r="S247" t="str">
        <x:v>638.58</x:v>
      </x:c>
      <x:c r="T247" t="str">
        <x:v>LT-501 not ok after reboiler duty loss</x:v>
      </x:c>
      <x:c r="U247" t="str">
        <x:v>days called for LT-501 reflux drum level tx, steam/hm valve no resp seen during reboiler duty loss. Foud no signal; 24v or card issue. Line was hot so job done slow and with ops standing by. calibrated, loop checked with CCR. no leak at handover. notif made by ops, maint attended same shift.</x:v>
      </x:c>
    </x:row>
    <x:row r="248" ht="15" hidden="0" customHeight="1">
      <x:c r="A248" t="str">
        <x:v>10450247</x:v>
      </x:c>
      <x:c r="B248" t="str">
        <x:v>40870247</x:v>
      </x:c>
      <x:c r="C248" t="str">
        <x:v>2022-05-31</x:v>
      </x:c>
      <x:c r="D248" t="str">
        <x:v>2022-06-01</x:v>
      </x:c>
      <x:c r="E248" t="str">
        <x:v>2022-06-02</x:v>
      </x:c>
      <x:c r="F248" t="str">
        <x:v>U400-DEETHANIZER-500</x:v>
      </x:c>
      <x:c r="G248" t="str">
        <x:v>PV-501</x:v>
      </x:c>
      <x:c r="H248" t="str">
        <x:v>column pressure control valve</x:v>
      </x:c>
      <x:c r="I248" t="str">
        <x:v>control_valve</x:v>
      </x:c>
      <x:c r="J248" t="str">
        <x:v>P3</x:v>
      </x:c>
      <x:c r="K248" t="str">
        <x:v>COMP</x:v>
      </x:c>
      <x:c r="L248" t="str">
        <x:v>INST</x:v>
      </x:c>
      <x:c r="M248" t="str">
        <x:v>reboiler_duty_loss</x:v>
      </x:c>
      <x:c r="N248" t="str">
        <x:v>hunting loop</x:v>
      </x:c>
      <x:c r="O248" t="str">
        <x:v>CTRL_OSC</x:v>
      </x:c>
      <x:c r="P248" t="str">
        <x:v>TUNE</x:v>
      </x:c>
      <x:c r="Q248" t="str">
        <x:v>N</x:v>
      </x:c>
      <x:c r="R248" t="str">
        <x:v>14.4</x:v>
      </x:c>
      <x:c r="S248" t="str">
        <x:v>2812.94</x:v>
      </x:c>
      <x:c r="T248" t="str">
        <x:v>PV-501 not ok after rebiler duty loss</x:v>
      </x:c>
      <x:c r="U248" t="str">
        <x:v>night called for PV-501 column pressure control valve, rb circ cold seen during reboiler duty loss. Foud hunting loop; bad response after upset. stroke tested, response better. readng close to dcs after job. notif made by ops, maint attended same shift.</x:v>
      </x:c>
    </x:row>
    <x:row r="249" ht="15" hidden="0" customHeight="1">
      <x:c r="A249" t="str">
        <x:v>10450248</x:v>
      </x:c>
      <x:c r="B249" t="str">
        <x:v>40870248</x:v>
      </x:c>
      <x:c r="C249" t="str">
        <x:v>2022-05-28</x:v>
      </x:c>
      <x:c r="D249" t="str">
        <x:v>2022-05-28</x:v>
      </x:c>
      <x:c r="E249" t="str">
        <x:v>2022-06-02</x:v>
      </x:c>
      <x:c r="F249" t="str">
        <x:v>U400-DEETHANIZER-500</x:v>
      </x:c>
      <x:c r="G249" t="str">
        <x:v>T-501</x:v>
      </x:c>
      <x:c r="H249" t="str">
        <x:v>deethanizer column</x:v>
      </x:c>
      <x:c r="I249" t="str">
        <x:v>column</x:v>
      </x:c>
      <x:c r="J249" t="str">
        <x:v>P3</x:v>
      </x:c>
      <x:c r="K249" t="str">
        <x:v>TECO</x:v>
      </x:c>
      <x:c r="L249" t="str">
        <x:v>ROT</x:v>
      </x:c>
      <x:c r="M249" t="str">
        <x:v>feed_composition_shift</x:v>
      </x:c>
      <x:c r="N249" t="str">
        <x:v>dp high</x:v>
      </x:c>
      <x:c r="O249" t="str">
        <x:v>DP_HIGH</x:v>
      </x:c>
      <x:c r="P249" t="str">
        <x:v>FOAM</x:v>
      </x:c>
      <x:c r="Q249" t="str">
        <x:v>N</x:v>
      </x:c>
      <x:c r="R249" t="str">
        <x:v>14.9</x:v>
      </x:c>
      <x:c r="S249" t="str">
        <x:v>5542.37</x:v>
      </x:c>
      <x:c r="T249" t="str">
        <x:v>T-501 dp high ops req</x:v>
      </x:c>
      <x:c r="U249" t="str">
        <x:v>days called for T-501 deethanizer colmn, anlyzr off seen during feed composition shift. Foud dp high; trays loading or foaming. changed gasket and boxed up. still little hunting but acceptable. notif made by ops, maint attended same shift.</x:v>
      </x:c>
    </x:row>
    <x:row r="250" ht="15" hidden="0" customHeight="1">
      <x:c r="A250" t="str">
        <x:v>10450249</x:v>
      </x:c>
      <x:c r="B250" t="str">
        <x:v>40870249</x:v>
      </x:c>
      <x:c r="C250" t="str">
        <x:v>2022-06-02</x:v>
      </x:c>
      <x:c r="D250" t="str">
        <x:v>2022-06-02</x:v>
      </x:c>
      <x:c r="E250" t="str">
        <x:v>2022-06-05</x:v>
      </x:c>
      <x:c r="F250" t="str">
        <x:v>U400-DEETHANIZER-500</x:v>
      </x:c>
      <x:c r="G250" t="str">
        <x:v>T-501</x:v>
      </x:c>
      <x:c r="H250" t="str">
        <x:v>deethanizer column</x:v>
      </x:c>
      <x:c r="I250" t="str">
        <x:v>column</x:v>
      </x:c>
      <x:c r="J250" t="str">
        <x:v>P1</x:v>
      </x:c>
      <x:c r="K250" t="str">
        <x:v>CLSD</x:v>
      </x:c>
      <x:c r="L250" t="str">
        <x:v>OPS+INST</x:v>
      </x:c>
      <x:c r="M250" t="str">
        <x:v>reboiler_duty_loss</x:v>
      </x:c>
      <x:c r="N250" t="str">
        <x:v>weeping flange</x:v>
      </x:c>
      <x:c r="O250" t="str">
        <x:v>LEAK</x:v>
      </x:c>
      <x:c r="P250" t="str">
        <x:v>GASKET</x:v>
      </x:c>
      <x:c r="Q250" t="str">
        <x:v>N</x:v>
      </x:c>
      <x:c r="R250" t="str">
        <x:v>14.2</x:v>
      </x:c>
      <x:c r="S250" t="str">
        <x:v>2117.64</x:v>
      </x:c>
      <x:c r="T250" t="str">
        <x:v>T-501 tray temp low, weeping flange</x:v>
      </x:c>
      <x:c r="U250" t="str">
        <x:v>days called for T-501 deethanizer column, steam/hm vavle no resp seen during reboiler duty loss. Foud weeping flange; manway/flange seep. No spare in store at first, used refurb one from shop. stroke tested, response better. temp repair only, plan shutdown job. notif made by ops, maint attended same shift.</x:v>
      </x:c>
    </x:row>
    <x:row r="251" ht="15" hidden="0" customHeight="1">
      <x:c r="A251" t="str">
        <x:v>10450250</x:v>
      </x:c>
      <x:c r="B251" t="str">
        <x:v>40870250</x:v>
      </x:c>
      <x:c r="C251" t="str">
        <x:v>2022-05-30</x:v>
      </x:c>
      <x:c r="D251" t="str">
        <x:v>2022-05-30</x:v>
      </x:c>
      <x:c r="E251" t="str">
        <x:v>2022-06-01</x:v>
      </x:c>
      <x:c r="F251" t="str">
        <x:v>U400-DEETHANIZER-500</x:v>
      </x:c>
      <x:c r="G251" t="str">
        <x:v>FT-501</x:v>
      </x:c>
      <x:c r="H251" t="str">
        <x:v>feed flow transmitter</x:v>
      </x:c>
      <x:c r="I251" t="str">
        <x:v>instrument</x:v>
      </x:c>
      <x:c r="J251" t="str">
        <x:v>P2</x:v>
      </x:c>
      <x:c r="K251" t="str">
        <x:v>COMP</x:v>
      </x:c>
      <x:c r="L251" t="str">
        <x:v>INST</x:v>
      </x:c>
      <x:c r="M251" t="str">
        <x:v>feed_flow_step</x:v>
      </x:c>
      <x:c r="N251" t="str">
        <x:v>no signal</x:v>
      </x:c>
      <x:c r="O251" t="str">
        <x:v>NO_SIGNAL</x:v>
      </x:c>
      <x:c r="P251" t="str">
        <x:v>ELEC</x:v>
      </x:c>
      <x:c r="Q251" t="str">
        <x:v>N</x:v>
      </x:c>
      <x:c r="R251" t="str">
        <x:v>9.9</x:v>
      </x:c>
      <x:c r="S251" t="str">
        <x:v>5420.35</x:v>
      </x:c>
      <x:c r="T251" t="str">
        <x:v>chk FT-501 - no signal frm ops</x:v>
      </x:c>
      <x:c r="U251" t="str">
        <x:v>days called for FT-501 feed flow transmitter, c2 recov down seen during feed flow step. Foud no signal; 24v or card issue. No spare in store at first, used refurb one from shop. changed gasket and boxed up. still little hunting but acceptable. notif made by ops, maint attended same shift.</x:v>
      </x:c>
    </x:row>
    <x:row r="252" ht="15" hidden="0" customHeight="1">
      <x:c r="A252" t="str">
        <x:v>10450251</x:v>
      </x:c>
      <x:c r="B252" t="str">
        <x:v>40870251</x:v>
      </x:c>
      <x:c r="C252" t="str">
        <x:v>2022-06-03</x:v>
      </x:c>
      <x:c r="D252" t="str">
        <x:v>2022-06-05</x:v>
      </x:c>
      <x:c r="E252" t="str">
        <x:v>2022-06-07</x:v>
      </x:c>
      <x:c r="F252" t="str">
        <x:v>U400-DEETHANIZER-500</x:v>
      </x:c>
      <x:c r="G252" t="str">
        <x:v>FT-502</x:v>
      </x:c>
      <x:c r="H252" t="str">
        <x:v>reflux flow transmitter</x:v>
      </x:c>
      <x:c r="I252" t="str">
        <x:v>instrument</x:v>
      </x:c>
      <x:c r="J252" t="str">
        <x:v>P3</x:v>
      </x:c>
      <x:c r="K252" t="str">
        <x:v>CLSD</x:v>
      </x:c>
      <x:c r="L252" t="str">
        <x:v>ANLYZR</x:v>
      </x:c>
      <x:c r="M252" t="str">
        <x:v>reflux_pump_degradation</x:v>
      </x:c>
      <x:c r="N252" t="str">
        <x:v>impulse plugged</x:v>
      </x:c>
      <x:c r="O252" t="str">
        <x:v>PLUG</x:v>
      </x:c>
      <x:c r="P252" t="str">
        <x:v>PROCESS</x:v>
      </x:c>
      <x:c r="Q252" t="str">
        <x:v>N</x:v>
      </x:c>
      <x:c r="R252" t="str">
        <x:v>9.6</x:v>
      </x:c>
      <x:c r="S252" t="str">
        <x:v>981.54</x:v>
      </x:c>
      <x:c r="T252" t="str">
        <x:v>chk FT-502 - impulse plugged frm ops</x:v>
      </x:c>
      <x:c r="U252" t="str">
        <x:v>night called for FT-502 reflux flow transmitter, disch press low seen during reflux pump degradation. Foud impulse plugged; tap/line dirty. calibrated, loop chekd with CCR. temp repair only, plan shutdown job. notif made by ops, maint attended same shift.</x:v>
      </x:c>
    </x:row>
    <x:row r="253" ht="15" hidden="0" customHeight="1">
      <x:c r="A253" t="str">
        <x:v>10450252</x:v>
      </x:c>
      <x:c r="B253" t="str">
        <x:v>40870252</x:v>
      </x:c>
      <x:c r="C253" t="str">
        <x:v>2022-06-05</x:v>
      </x:c>
      <x:c r="D253" t="str">
        <x:v>2022-06-06</x:v>
      </x:c>
      <x:c r="E253" t="str">
        <x:v>2022-06-07</x:v>
      </x:c>
      <x:c r="F253" t="str">
        <x:v>U400-DEETHANIZER-500</x:v>
      </x:c>
      <x:c r="G253" t="str">
        <x:v>P-501A</x:v>
      </x:c>
      <x:c r="H253" t="str">
        <x:v>reflux pump A</x:v>
      </x:c>
      <x:c r="I253" t="str">
        <x:v>pump</x:v>
      </x:c>
      <x:c r="J253" t="str">
        <x:v>P3</x:v>
      </x:c>
      <x:c r="K253" t="str">
        <x:v>CLSD</x:v>
      </x:c>
      <x:c r="L253" t="str">
        <x:v>INST</x:v>
      </x:c>
      <x:c r="M253" t="str">
        <x:v>reflux_pump_degradation</x:v>
      </x:c>
      <x:c r="N253" t="str">
        <x:v>low disch press</x:v>
      </x:c>
      <x:c r="O253" t="str">
        <x:v>HYD_LOSS</x:v>
      </x:c>
      <x:c r="P253" t="str">
        <x:v>FOUL</x:v>
      </x:c>
      <x:c r="Q253" t="str">
        <x:v>N</x:v>
      </x:c>
      <x:c r="R253" t="str">
        <x:v>10.8</x:v>
      </x:c>
      <x:c r="S253" t="str">
        <x:v>4740.02</x:v>
      </x:c>
      <x:c r="T253" t="str">
        <x:v>P-501A low disch press again, prod upset</x:v>
      </x:c>
      <x:c r="U253" t="str">
        <x:v>C shift called for P-501A rflx pump A, low rflx seen during rflx pump degradation. Foud low disch press; strainer dirty or impeller wear. stroke tested, response better. need watch next feed swing. notif made by ops, maint attended same shift.</x:v>
      </x:c>
    </x:row>
    <x:row r="254" ht="15" hidden="0" customHeight="1">
      <x:c r="A254" t="str">
        <x:v>10450253</x:v>
      </x:c>
      <x:c r="B254" t="str">
        <x:v>40870253</x:v>
      </x:c>
      <x:c r="C254" t="str">
        <x:v>2022-06-06</x:v>
      </x:c>
      <x:c r="D254" t="str">
        <x:v>2022-06-08</x:v>
      </x:c>
      <x:c r="E254" t="str">
        <x:v>2022-06-11</x:v>
      </x:c>
      <x:c r="F254" t="str">
        <x:v>U400-DEETHANIZER-500</x:v>
      </x:c>
      <x:c r="G254" t="str">
        <x:v>PT-501</x:v>
      </x:c>
      <x:c r="H254" t="str">
        <x:v>column overhead pressure tx</x:v>
      </x:c>
      <x:c r="I254" t="str">
        <x:v>instrument</x:v>
      </x:c>
      <x:c r="J254" t="str">
        <x:v>P2</x:v>
      </x:c>
      <x:c r="K254" t="str">
        <x:v>COMP</x:v>
      </x:c>
      <x:c r="L254" t="str">
        <x:v>INST</x:v>
      </x:c>
      <x:c r="M254" t="str">
        <x:v>pressure_control_fault</x:v>
      </x:c>
      <x:c r="N254" t="str">
        <x:v>range err</x:v>
      </x:c>
      <x:c r="O254" t="str">
        <x:v>SPAN</x:v>
      </x:c>
      <x:c r="P254" t="str">
        <x:v>CAL</x:v>
      </x:c>
      <x:c r="Q254" t="str">
        <x:v>Y</x:v>
      </x:c>
      <x:c r="R254" t="str">
        <x:v>23.5</x:v>
      </x:c>
      <x:c r="S254" t="str">
        <x:v>6591.74</x:v>
      </x:c>
      <x:c r="T254" t="str">
        <x:v>PT-501 range err again, prod upset</x:v>
      </x:c>
      <x:c r="U254" t="str">
        <x:v>A shift called for PT-501 column overhead press tx, flare valve checked seen during press control fault. Foud range err; span shifted. Line was hot so job done slow and with ops standing by. flushed impulse/sample line. readng close to dcs after job. notif made by ops, maint attended same shift.</x:v>
      </x:c>
    </x:row>
    <x:row r="255" ht="15" hidden="0" customHeight="1">
      <x:c r="A255" t="str">
        <x:v>10450254</x:v>
      </x:c>
      <x:c r="B255" t="str">
        <x:v>40870254</x:v>
      </x:c>
      <x:c r="C255" t="str">
        <x:v>2022-06-06</x:v>
      </x:c>
      <x:c r="D255" t="str">
        <x:v>2022-06-07</x:v>
      </x:c>
      <x:c r="E255" t="str">
        <x:v>2022-06-08</x:v>
      </x:c>
      <x:c r="F255" t="str">
        <x:v>U400-DEETHANIZER-500</x:v>
      </x:c>
      <x:c r="G255" t="str">
        <x:v>PV-501</x:v>
      </x:c>
      <x:c r="H255" t="str">
        <x:v>column pressure control valve</x:v>
      </x:c>
      <x:c r="I255" t="str">
        <x:v>control_valve</x:v>
      </x:c>
      <x:c r="J255" t="str">
        <x:v>P2</x:v>
      </x:c>
      <x:c r="K255" t="str">
        <x:v>COMP</x:v>
      </x:c>
      <x:c r="L255" t="str">
        <x:v>VALVE</x:v>
      </x:c>
      <x:c r="M255" t="str">
        <x:v>condenser_fouling</x:v>
      </x:c>
      <x:c r="N255" t="str">
        <x:v>air leak</x:v>
      </x:c>
      <x:c r="O255" t="str">
        <x:v>AIR_LEAK</x:v>
      </x:c>
      <x:c r="P255" t="str">
        <x:v>TUBING</x:v>
      </x:c>
      <x:c r="Q255" t="str">
        <x:v>Y</x:v>
      </x:c>
      <x:c r="R255" t="str">
        <x:v>15.2</x:v>
      </x:c>
      <x:c r="S255" t="str">
        <x:v>5251.1</x:v>
      </x:c>
      <x:c r="T255" t="str">
        <x:v>PV-501 air leak chk &amp; revert</x:v>
      </x:c>
      <x:c r="U255" t="str">
        <x:v>C shift called for PV-501 column press control valve, cw dt low seen during condnsr fouling. Foud air leak; positioner supply drop. replaced positioner tubing and retuned small. still little hunting but acceptable. notif made by ops, maint attended same shift.</x:v>
      </x:c>
    </x:row>
    <x:row r="256" ht="15" hidden="0" customHeight="1">
      <x:c r="A256" t="str">
        <x:v>10450255</x:v>
      </x:c>
      <x:c r="B256" t="str">
        <x:v>40870255</x:v>
      </x:c>
      <x:c r="C256" t="str">
        <x:v>2022-06-11</x:v>
      </x:c>
      <x:c r="D256" t="str">
        <x:v>2022-06-13</x:v>
      </x:c>
      <x:c r="E256" t="str">
        <x:v>2022-06-13</x:v>
      </x:c>
      <x:c r="F256" t="str">
        <x:v>U400-DEETHANIZER-500</x:v>
      </x:c>
      <x:c r="G256" t="str">
        <x:v>TV-501</x:v>
      </x:c>
      <x:c r="H256" t="str">
        <x:v>reboiler hot medium valve</x:v>
      </x:c>
      <x:c r="I256" t="str">
        <x:v>control_valve</x:v>
      </x:c>
      <x:c r="J256" t="str">
        <x:v>P3</x:v>
      </x:c>
      <x:c r="K256" t="str">
        <x:v>TECO</x:v>
      </x:c>
      <x:c r="L256" t="str">
        <x:v>E&amp;I</x:v>
      </x:c>
      <x:c r="M256" t="str">
        <x:v>feed_temperature_ramp</x:v>
      </x:c>
      <x:c r="N256" t="str">
        <x:v>not stroking</x:v>
      </x:c>
      <x:c r="O256" t="str">
        <x:v>NO_TRAVEL</x:v>
      </x:c>
      <x:c r="P256" t="str">
        <x:v>ACT</x:v>
      </x:c>
      <x:c r="Q256" t="str">
        <x:v>N</x:v>
      </x:c>
      <x:c r="R256" t="str">
        <x:v>4.7</x:v>
      </x:c>
      <x:c r="S256" t="str">
        <x:v>2636.13</x:v>
      </x:c>
      <x:c r="T256" t="str">
        <x:v>chk TV-501 - not stroking frm ops</x:v>
      </x:c>
      <x:c r="U256" t="str">
        <x:v>C shift called for TV-501 reboiler hot medium vavle, ovhd press moving seen during feed temperature ramp. Foud not stroking; actuator weak. No spare in store at first, used refurb one from shop. opened strainer, cleaned black sludge. no leak at handover. notif made by ops, maint attended same shift.</x:v>
      </x:c>
    </x:row>
    <x:row r="257" ht="15" hidden="0" customHeight="1">
      <x:c r="A257" t="str">
        <x:v>10450256</x:v>
      </x:c>
      <x:c r="B257" t="str">
        <x:v>40870256</x:v>
      </x:c>
      <x:c r="C257" t="str">
        <x:v>2022-06-12</x:v>
      </x:c>
      <x:c r="D257" t="str">
        <x:v>2022-06-13</x:v>
      </x:c>
      <x:c r="E257" t="str">
        <x:v>2022-06-20</x:v>
      </x:c>
      <x:c r="F257" t="str">
        <x:v>U400-DEETHANIZER-500</x:v>
      </x:c>
      <x:c r="G257" t="str">
        <x:v>E-503</x:v>
      </x:c>
      <x:c r="H257" t="str">
        <x:v>feed bottoms exchanger</x:v>
      </x:c>
      <x:c r="I257" t="str">
        <x:v>exchanger</x:v>
      </x:c>
      <x:c r="J257" t="str">
        <x:v>P1</x:v>
      </x:c>
      <x:c r="K257" t="str">
        <x:v>TECO</x:v>
      </x:c>
      <x:c r="L257" t="str">
        <x:v>MECH</x:v>
      </x:c>
      <x:c r="M257" t="str">
        <x:v>feed_temperature_ramp</x:v>
      </x:c>
      <x:c r="N257" t="str">
        <x:v>tube fouling</x:v>
      </x:c>
      <x:c r="O257" t="str">
        <x:v>FOULING</x:v>
      </x:c>
      <x:c r="P257" t="str">
        <x:v>PROCESS</x:v>
      </x:c>
      <x:c r="Q257" t="str">
        <x:v>N</x:v>
      </x:c>
      <x:c r="R257" t="str">
        <x:v>14.9</x:v>
      </x:c>
      <x:c r="S257" t="str">
        <x:v>6215.29</x:v>
      </x:c>
      <x:c r="T257" t="str">
        <x:v>E-503 tube fouling again, prod upset</x:v>
      </x:c>
      <x:c r="U257" t="str">
        <x:v>B shift called for E-503 feed bottoms exchanger, rb duty up seen during feed temperature ramp. Foud tube fouling; duty low, delta t poor. flushed impulse/sample line. unit stable now. notif made by ops, maint attended same shift.</x:v>
      </x:c>
    </x:row>
    <x:row r="258" ht="15" hidden="0" customHeight="1">
      <x:c r="A258" t="str">
        <x:v>10450257</x:v>
      </x:c>
      <x:c r="B258" t="str">
        <x:v>40870257</x:v>
      </x:c>
      <x:c r="C258" t="str">
        <x:v>2022-06-12</x:v>
      </x:c>
      <x:c r="D258" t="str">
        <x:v>2022-06-12</x:v>
      </x:c>
      <x:c r="E258" t="str">
        <x:v>2022-06-13</x:v>
      </x:c>
      <x:c r="F258" t="str">
        <x:v>U400-DEETHANIZER-500</x:v>
      </x:c>
      <x:c r="G258" t="str">
        <x:v>E-503</x:v>
      </x:c>
      <x:c r="H258" t="str">
        <x:v>feed bottoms exchanger</x:v>
      </x:c>
      <x:c r="I258" t="str">
        <x:v>exchanger</x:v>
      </x:c>
      <x:c r="J258" t="str">
        <x:v>P2</x:v>
      </x:c>
      <x:c r="K258" t="str">
        <x:v>CLSD</x:v>
      </x:c>
      <x:c r="L258" t="str">
        <x:v>E&amp;I</x:v>
      </x:c>
      <x:c r="M258" t="str">
        <x:v>feed_temperature_ramp</x:v>
      </x:c>
      <x:c r="N258" t="str">
        <x:v>tube fouling</x:v>
      </x:c>
      <x:c r="O258" t="str">
        <x:v>FOULING</x:v>
      </x:c>
      <x:c r="P258" t="str">
        <x:v>PROCESS</x:v>
      </x:c>
      <x:c r="Q258" t="str">
        <x:v>N</x:v>
      </x:c>
      <x:c r="R258" t="str">
        <x:v>6.5</x:v>
      </x:c>
      <x:c r="S258" t="str">
        <x:v>5792.55</x:v>
      </x:c>
      <x:c r="T258" t="str">
        <x:v>E-503 not ok after feed temperature ramp</x:v>
      </x:c>
      <x:c r="U258" t="str">
        <x:v>days called for E-503 feed bottoms exchanger, rb duty up seen during feed temperature ramp. Foud tube fouling; duty low, delta t poor. changed gasket and boxed up. need watch next feed swing. notif made by ops, maint attended same shift.</x:v>
      </x:c>
    </x:row>
    <x:row r="259" ht="15" hidden="0" customHeight="1">
      <x:c r="A259" t="str">
        <x:v>10450258</x:v>
      </x:c>
      <x:c r="B259" t="str">
        <x:v>40870258</x:v>
      </x:c>
      <x:c r="C259" t="str">
        <x:v>2022-06-13</x:v>
      </x:c>
      <x:c r="D259" t="str">
        <x:v>2022-06-14</x:v>
      </x:c>
      <x:c r="E259" t="str">
        <x:v>2022-06-17</x:v>
      </x:c>
      <x:c r="F259" t="str">
        <x:v>U400-DEETHANIZER-500</x:v>
      </x:c>
      <x:c r="G259" t="str">
        <x:v>FT-501</x:v>
      </x:c>
      <x:c r="H259" t="str">
        <x:v>feed flow transmitter</x:v>
      </x:c>
      <x:c r="I259" t="str">
        <x:v>instrument</x:v>
      </x:c>
      <x:c r="J259" t="str">
        <x:v>P2</x:v>
      </x:c>
      <x:c r="K259" t="str">
        <x:v>COMP</x:v>
      </x:c>
      <x:c r="L259" t="str">
        <x:v>INST</x:v>
      </x:c>
      <x:c r="M259" t="str">
        <x:v>feed_flow_step</x:v>
      </x:c>
      <x:c r="N259" t="str">
        <x:v>loose wire</x:v>
      </x:c>
      <x:c r="O259" t="str">
        <x:v>SIGNAL</x:v>
      </x:c>
      <x:c r="P259" t="str">
        <x:v>ELEC</x:v>
      </x:c>
      <x:c r="Q259" t="str">
        <x:v>Y</x:v>
      </x:c>
      <x:c r="R259" t="str">
        <x:v>16.2</x:v>
      </x:c>
      <x:c r="S259" t="str">
        <x:v>6362.57</x:v>
      </x:c>
      <x:c r="T259" t="str">
        <x:v>chk FT-501 - loose wire frm ops</x:v>
      </x:c>
      <x:c r="U259" t="str">
        <x:v>days called for FT-501 feed flow transmitter, column dp high seen during feed flow step. Foud loose wire; term loose. changed gasket and boxed up. unit stable now. notif made by ops, maint attended same shift.</x:v>
      </x:c>
    </x:row>
    <x:row r="260" ht="15" hidden="0" customHeight="1">
      <x:c r="A260" t="str">
        <x:v>10450259</x:v>
      </x:c>
      <x:c r="B260" t="str">
        <x:v>40870259</x:v>
      </x:c>
      <x:c r="C260" t="str">
        <x:v>2022-06-14</x:v>
      </x:c>
      <x:c r="D260" t="str">
        <x:v>2022-06-14</x:v>
      </x:c>
      <x:c r="E260" t="str">
        <x:v>2022-06-15</x:v>
      </x:c>
      <x:c r="F260" t="str">
        <x:v>U400-DEETHANIZER-500</x:v>
      </x:c>
      <x:c r="G260" t="str">
        <x:v>E-503</x:v>
      </x:c>
      <x:c r="H260" t="str">
        <x:v>feed bottoms exchanger</x:v>
      </x:c>
      <x:c r="I260" t="str">
        <x:v>exchanger</x:v>
      </x:c>
      <x:c r="J260" t="str">
        <x:v>P3</x:v>
      </x:c>
      <x:c r="K260" t="str">
        <x:v>TECO</x:v>
      </x:c>
      <x:c r="L260" t="str">
        <x:v>INST</x:v>
      </x:c>
      <x:c r="M260" t="str">
        <x:v>feed_temperature_ramp</x:v>
      </x:c>
      <x:c r="N260" t="str">
        <x:v>gasket weep</x:v>
      </x:c>
      <x:c r="O260" t="str">
        <x:v>LEAK</x:v>
      </x:c>
      <x:c r="P260" t="str">
        <x:v>GASKET</x:v>
      </x:c>
      <x:c r="Q260" t="str">
        <x:v>N</x:v>
      </x:c>
      <x:c r="R260" t="str">
        <x:v>16.3</x:v>
      </x:c>
      <x:c r="S260" t="str">
        <x:v>10763.29</x:v>
      </x:c>
      <x:c r="T260" t="str">
        <x:v>E-503 gasket weep again, prod upset</x:v>
      </x:c>
      <x:c r="U260" t="str">
        <x:v>B shift called for E-503 feed bottoms exchanger, rb duty up seen during feed temperature ramp. Foud gasket weep; flange sweating. flushed impulse/sample line. temp repair only, plan shutdown job. notif made by ops, maint attended same shift.</x:v>
      </x:c>
    </x:row>
    <x:row r="261" ht="15" hidden="0" customHeight="1">
      <x:c r="A261" t="str">
        <x:v>10450260</x:v>
      </x:c>
      <x:c r="B261" t="str">
        <x:v>40870260</x:v>
      </x:c>
      <x:c r="C261" t="str">
        <x:v>2022-06-14</x:v>
      </x:c>
      <x:c r="D261" t="str">
        <x:v>2022-06-15</x:v>
      </x:c>
      <x:c r="E261" t="str">
        <x:v>2022-06-18</x:v>
      </x:c>
      <x:c r="F261" t="str">
        <x:v>U400-DEETHANIZER-500</x:v>
      </x:c>
      <x:c r="G261" t="str">
        <x:v>TV-502</x:v>
      </x:c>
      <x:c r="H261" t="str">
        <x:v>condenser cooling valve</x:v>
      </x:c>
      <x:c r="I261" t="str">
        <x:v>control_valve</x:v>
      </x:c>
      <x:c r="J261" t="str">
        <x:v>P3</x:v>
      </x:c>
      <x:c r="K261" t="str">
        <x:v>TECO</x:v>
      </x:c>
      <x:c r="L261" t="str">
        <x:v>OPS+MECH</x:v>
      </x:c>
      <x:c r="M261" t="str">
        <x:v>valve_stiction</x:v>
      </x:c>
      <x:c r="N261" t="str">
        <x:v>stiction</x:v>
      </x:c>
      <x:c r="O261" t="str">
        <x:v>STICK</x:v>
      </x:c>
      <x:c r="P261" t="str">
        <x:v>PACKING</x:v>
      </x:c>
      <x:c r="Q261" t="str">
        <x:v>N</x:v>
      </x:c>
      <x:c r="R261" t="str">
        <x:v>9.7</x:v>
      </x:c>
      <x:c r="S261" t="str">
        <x:v>3536.25</x:v>
      </x:c>
      <x:c r="T261" t="str">
        <x:v>TV-502 stiction again, prod upset</x:v>
      </x:c>
      <x:c r="U261" t="str">
        <x:v>night called for TV-502 condenser cooling valve, air leak seen during valve stiction. Foud stiction; stem sticky and pos err. Could not get permit first time waiting area gas test. swapped to standby and repaired. readng close to dcs after job. notif made by ops, maint attended same shift.</x:v>
      </x:c>
    </x:row>
    <x:row r="262" ht="15" hidden="0" customHeight="1">
      <x:c r="A262" t="str">
        <x:v>10450261</x:v>
      </x:c>
      <x:c r="B262" t="str">
        <x:v>40870261</x:v>
      </x:c>
      <x:c r="C262" t="str">
        <x:v>2022-06-20</x:v>
      </x:c>
      <x:c r="D262" t="str">
        <x:v>2022-06-21</x:v>
      </x:c>
      <x:c r="E262" t="str">
        <x:v>2022-06-22</x:v>
      </x:c>
      <x:c r="F262" t="str">
        <x:v>U400-DEETHANIZER-500</x:v>
      </x:c>
      <x:c r="G262" t="str">
        <x:v>T-501</x:v>
      </x:c>
      <x:c r="H262" t="str">
        <x:v>deethanizer column</x:v>
      </x:c>
      <x:c r="I262" t="str">
        <x:v>column</x:v>
      </x:c>
      <x:c r="J262" t="str">
        <x:v>P1</x:v>
      </x:c>
      <x:c r="K262" t="str">
        <x:v>TECO</x:v>
      </x:c>
      <x:c r="L262" t="str">
        <x:v>MECH</x:v>
      </x:c>
      <x:c r="M262" t="str">
        <x:v>condenser_fouling</x:v>
      </x:c>
      <x:c r="N262" t="str">
        <x:v>dp high</x:v>
      </x:c>
      <x:c r="O262" t="str">
        <x:v>DP_HIGH</x:v>
      </x:c>
      <x:c r="P262" t="str">
        <x:v>FOAM</x:v>
      </x:c>
      <x:c r="Q262" t="str">
        <x:v>Y</x:v>
      </x:c>
      <x:c r="R262" t="str">
        <x:v>10.3</x:v>
      </x:c>
      <x:c r="S262" t="str">
        <x:v>2072.37</x:v>
      </x:c>
      <x:c r="T262" t="str">
        <x:v>T-501 not ok after condenser fouling</x:v>
      </x:c>
      <x:c r="U262" t="str">
        <x:v>days called for T-501 deethanizer column, high ovhd press seen during condnsr fouling. Foud dp high; trays loading or foaming. cleaned and put back online. still little hunting but acceptable. notif made by ops, maint attended same shift.</x:v>
      </x:c>
    </x:row>
    <x:row r="263" ht="15" hidden="0" customHeight="1">
      <x:c r="A263" t="str">
        <x:v>10450262</x:v>
      </x:c>
      <x:c r="B263" t="str">
        <x:v>40870262</x:v>
      </x:c>
      <x:c r="C263" t="str">
        <x:v>2022-06-22</x:v>
      </x:c>
      <x:c r="D263" t="str">
        <x:v>2022-06-23</x:v>
      </x:c>
      <x:c r="E263" t="str">
        <x:v>2022-06-23</x:v>
      </x:c>
      <x:c r="F263" t="str">
        <x:v>U400-DEETHANIZER-500</x:v>
      </x:c>
      <x:c r="G263" t="str">
        <x:v>PSV-501B</x:v>
      </x:c>
      <x:c r="H263" t="str">
        <x:v>column relief valve B</x:v>
      </x:c>
      <x:c r="I263" t="str">
        <x:v>relief</x:v>
      </x:c>
      <x:c r="J263" t="str">
        <x:v>P2</x:v>
      </x:c>
      <x:c r="K263" t="str">
        <x:v>COMP</x:v>
      </x:c>
      <x:c r="L263" t="str">
        <x:v>ROT</x:v>
      </x:c>
      <x:c r="M263" t="str">
        <x:v>pressure_control_fault</x:v>
      </x:c>
      <x:c r="N263" t="str">
        <x:v>due to lift chk</x:v>
      </x:c>
      <x:c r="O263" t="str">
        <x:v>LIFT_EVENT</x:v>
      </x:c>
      <x:c r="P263" t="str">
        <x:v>PROCESS</x:v>
      </x:c>
      <x:c r="Q263" t="str">
        <x:v>N</x:v>
      </x:c>
      <x:c r="R263" t="str">
        <x:v>16.6</x:v>
      </x:c>
      <x:c r="S263" t="str">
        <x:v>923.47</x:v>
      </x:c>
      <x:c r="T263" t="str">
        <x:v>PSV-501B due to lift chk noisy</x:v>
      </x:c>
      <x:c r="U263" t="str">
        <x:v>night called for PSV-501B column relief valve B, flare valve checked seen during press ctrl fault. Foud due to lift chk; after press excursion. Tag plate dirty, confirmd by line up with panel. opened strainer, cleaned black sludge. temp repair only, plan shutdown job. notif made by ops, maint attended same shift.</x:v>
      </x:c>
    </x:row>
    <x:row r="264" ht="15" hidden="0" customHeight="1">
      <x:c r="A264" t="str">
        <x:v>10450263</x:v>
      </x:c>
      <x:c r="B264" t="str">
        <x:v>40870263</x:v>
      </x:c>
      <x:c r="C264" t="str">
        <x:v>2022-06-23</x:v>
      </x:c>
      <x:c r="D264" t="str">
        <x:v>2022-06-24</x:v>
      </x:c>
      <x:c r="E264" t="str">
        <x:v>2022-06-24</x:v>
      </x:c>
      <x:c r="F264" t="str">
        <x:v>U400-DEETHANIZER-500</x:v>
      </x:c>
      <x:c r="G264" t="str">
        <x:v>P-501B</x:v>
      </x:c>
      <x:c r="H264" t="str">
        <x:v>reflux pump B</x:v>
      </x:c>
      <x:c r="I264" t="str">
        <x:v>pump</x:v>
      </x:c>
      <x:c r="J264" t="str">
        <x:v>P4</x:v>
      </x:c>
      <x:c r="K264" t="str">
        <x:v>COMP</x:v>
      </x:c>
      <x:c r="L264" t="str">
        <x:v>OPS+INST</x:v>
      </x:c>
      <x:c r="M264" t="str">
        <x:v>reflux_pump_degradation</x:v>
      </x:c>
      <x:c r="N264" t="str">
        <x:v>seal leak</x:v>
      </x:c>
      <x:c r="O264" t="str">
        <x:v>MECH_SEAL</x:v>
      </x:c>
      <x:c r="P264" t="str">
        <x:v>SEAL</x:v>
      </x:c>
      <x:c r="Q264" t="str">
        <x:v>N</x:v>
      </x:c>
      <x:c r="R264" t="str">
        <x:v>2.4</x:v>
      </x:c>
      <x:c r="S264" t="str">
        <x:v>516.13</x:v>
      </x:c>
      <x:c r="T264" t="str">
        <x:v>P-501B not ok after reflux pump degradation</x:v>
      </x:c>
      <x:c r="U264" t="str">
        <x:v>A shift called for P-501B reflux pump B, seal weep seen during reflux pump degradation. Foud seal leak; seal face worn / dry run signs. calibrated, loop checked with CCR. readng close to dcs after job. notif made by ops, maint attended same shift.</x:v>
      </x:c>
    </x:row>
    <x:row r="265" ht="15" hidden="0" customHeight="1">
      <x:c r="A265" t="str">
        <x:v>10450264</x:v>
      </x:c>
      <x:c r="B265" t="str">
        <x:v>40870264</x:v>
      </x:c>
      <x:c r="C265" t="str">
        <x:v>2022-06-19</x:v>
      </x:c>
      <x:c r="D265" t="str">
        <x:v>2022-06-20</x:v>
      </x:c>
      <x:c r="E265" t="str">
        <x:v>2022-06-20</x:v>
      </x:c>
      <x:c r="F265" t="str">
        <x:v>U400-DEETHANIZER-500</x:v>
      </x:c>
      <x:c r="G265" t="str">
        <x:v>FT-501</x:v>
      </x:c>
      <x:c r="H265" t="str">
        <x:v>feed flow transmitter</x:v>
      </x:c>
      <x:c r="I265" t="str">
        <x:v>instrument</x:v>
      </x:c>
      <x:c r="J265" t="str">
        <x:v>P2</x:v>
      </x:c>
      <x:c r="K265" t="str">
        <x:v>TECO</x:v>
      </x:c>
      <x:c r="L265" t="str">
        <x:v>OPS+INST</x:v>
      </x:c>
      <x:c r="M265" t="str">
        <x:v>feed_flow_step</x:v>
      </x:c>
      <x:c r="N265" t="str">
        <x:v>bad reading</x:v>
      </x:c>
      <x:c r="O265" t="str">
        <x:v>DRIFT</x:v>
      </x:c>
      <x:c r="P265" t="str">
        <x:v>CAL</x:v>
      </x:c>
      <x:c r="Q265" t="str">
        <x:v>N</x:v>
      </x:c>
      <x:c r="R265" t="str">
        <x:v>2.3</x:v>
      </x:c>
      <x:c r="S265" t="str">
        <x:v>6235.19</x:v>
      </x:c>
      <x:c r="T265" t="str">
        <x:v>FT-501 bad reading again, prod upset</x:v>
      </x:c>
      <x:c r="U265" t="str">
        <x:v>days called for FT-501 feed flow transmitter, feed jump seen during feed flow step. Foud bad reading; needs calib. No spare in store at first, used refurb one from shop. reset trip and monitored for 2 hrs. need watch next feed swing. notif made by ops, maint attended same shift.</x:v>
      </x:c>
    </x:row>
    <x:row r="266" ht="15" hidden="0" customHeight="1">
      <x:c r="A266" t="str">
        <x:v>10450265</x:v>
      </x:c>
      <x:c r="B266" t="str">
        <x:v>40870265</x:v>
      </x:c>
      <x:c r="C266" t="str">
        <x:v>2022-06-22</x:v>
      </x:c>
      <x:c r="D266" t="str">
        <x:v>2022-06-23</x:v>
      </x:c>
      <x:c r="E266" t="str">
        <x:v>2022-06-25</x:v>
      </x:c>
      <x:c r="F266" t="str">
        <x:v>U400-DEETHANIZER-500</x:v>
      </x:c>
      <x:c r="G266" t="str">
        <x:v>LV-502</x:v>
      </x:c>
      <x:c r="H266" t="str">
        <x:v>bottoms level valve</x:v>
      </x:c>
      <x:c r="I266" t="str">
        <x:v>control_valve</x:v>
      </x:c>
      <x:c r="J266" t="str">
        <x:v>P3</x:v>
      </x:c>
      <x:c r="K266" t="str">
        <x:v>TECO</x:v>
      </x:c>
      <x:c r="L266" t="str">
        <x:v>INST</x:v>
      </x:c>
      <x:c r="M266" t="str">
        <x:v>valve_stiction</x:v>
      </x:c>
      <x:c r="N266" t="str">
        <x:v>hunting loop</x:v>
      </x:c>
      <x:c r="O266" t="str">
        <x:v>CTRL_OSC</x:v>
      </x:c>
      <x:c r="P266" t="str">
        <x:v>TUNE</x:v>
      </x:c>
      <x:c r="Q266" t="str">
        <x:v>N</x:v>
      </x:c>
      <x:c r="R266" t="str">
        <x:v>9.7</x:v>
      </x:c>
      <x:c r="S266" t="str">
        <x:v>6571.35</x:v>
      </x:c>
      <x:c r="T266" t="str">
        <x:v>LV-502 hunting loop again, prod upset</x:v>
      </x:c>
      <x:c r="U266" t="str">
        <x:v>A shift called for LV-502 bottoms level valve, op jumps seen during valve stiction. Foud hunting loop; bad response after upset. opened strainer, cleaned black sludge. ops says ok for now. notif made by ops, maint attended same shift.</x:v>
      </x:c>
    </x:row>
    <x:row r="267" ht="15" hidden="0" customHeight="1">
      <x:c r="A267" t="str">
        <x:v>10450266</x:v>
      </x:c>
      <x:c r="B267" t="str">
        <x:v>40870266</x:v>
      </x:c>
      <x:c r="C267" t="str">
        <x:v>2022-06-27</x:v>
      </x:c>
      <x:c r="D267" t="str">
        <x:v>2022-06-29</x:v>
      </x:c>
      <x:c r="E267" t="str">
        <x:v>2022-07-13</x:v>
      </x:c>
      <x:c r="F267" t="str">
        <x:v>U400-DEETHANIZER-500</x:v>
      </x:c>
      <x:c r="G267" t="str">
        <x:v>PV-501</x:v>
      </x:c>
      <x:c r="H267" t="str">
        <x:v>column pressure control valve</x:v>
      </x:c>
      <x:c r="I267" t="str">
        <x:v>control_valve</x:v>
      </x:c>
      <x:c r="J267" t="str">
        <x:v>P3</x:v>
      </x:c>
      <x:c r="K267" t="str">
        <x:v>TECO</x:v>
      </x:c>
      <x:c r="L267" t="str">
        <x:v>ROT</x:v>
      </x:c>
      <x:c r="M267" t="str">
        <x:v>pressure_control_fault</x:v>
      </x:c>
      <x:c r="N267" t="str">
        <x:v>air leak</x:v>
      </x:c>
      <x:c r="O267" t="str">
        <x:v>AIR_LEAK</x:v>
      </x:c>
      <x:c r="P267" t="str">
        <x:v>TUBING</x:v>
      </x:c>
      <x:c r="Q267" t="str">
        <x:v>N</x:v>
      </x:c>
      <x:c r="R267" t="str">
        <x:v>15.8</x:v>
      </x:c>
      <x:c r="S267" t="str">
        <x:v>1033.27</x:v>
      </x:c>
      <x:c r="T267" t="str">
        <x:v>PV-501 not ok after pressure control fault</x:v>
      </x:c>
      <x:c r="U267" t="str">
        <x:v>A shift called for PV-501 column pressure control valve, pshh close call seen during pressure control fault. Foud air leak; positioner supply drop. Tag plate dirty, confirmd by line up with panel. flushed impulse/sample line. readng close to dcs after job. notif made by ops, maint attended same shift.</x:v>
      </x:c>
    </x:row>
    <x:row r="268" ht="15" hidden="0" customHeight="1">
      <x:c r="A268" t="str">
        <x:v>10450267</x:v>
      </x:c>
      <x:c r="B268" t="str">
        <x:v>40870267</x:v>
      </x:c>
      <x:c r="C268" t="str">
        <x:v>2022-06-24</x:v>
      </x:c>
      <x:c r="D268" t="str">
        <x:v>2022-06-26</x:v>
      </x:c>
      <x:c r="E268" t="str">
        <x:v>2022-07-01</x:v>
      </x:c>
      <x:c r="F268" t="str">
        <x:v>U400-DEETHANIZER-500</x:v>
      </x:c>
      <x:c r="G268" t="str">
        <x:v>TV-501</x:v>
      </x:c>
      <x:c r="H268" t="str">
        <x:v>reboiler hot medium valve</x:v>
      </x:c>
      <x:c r="I268" t="str">
        <x:v>control_valve</x:v>
      </x:c>
      <x:c r="J268" t="str">
        <x:v>P3</x:v>
      </x:c>
      <x:c r="K268" t="str">
        <x:v>COMP</x:v>
      </x:c>
      <x:c r="L268" t="str">
        <x:v>OPS+INST</x:v>
      </x:c>
      <x:c r="M268" t="str">
        <x:v>condenser_fouling</x:v>
      </x:c>
      <x:c r="N268" t="str">
        <x:v>air leak</x:v>
      </x:c>
      <x:c r="O268" t="str">
        <x:v>AIR_LEAK</x:v>
      </x:c>
      <x:c r="P268" t="str">
        <x:v>TUBING</x:v>
      </x:c>
      <x:c r="Q268" t="str">
        <x:v>N</x:v>
      </x:c>
      <x:c r="R268" t="str">
        <x:v>5.7</x:v>
      </x:c>
      <x:c r="S268" t="str">
        <x:v>3307.96</x:v>
      </x:c>
      <x:c r="T268" t="str">
        <x:v>TV-501 pic wide open, air leak</x:v>
      </x:c>
      <x:c r="U268" t="str">
        <x:v>C shift called for TV-501 reboiler hot medium vavle, cw dt low seen during condenser fouling. Foud air leak; positioner supply drop. calibrated, loop checked with CCR. temp repair only, plan shutdown job. notif made by ops, maint attended same shift.</x:v>
      </x:c>
    </x:row>
    <x:row r="269" ht="15" hidden="0" customHeight="1">
      <x:c r="A269" t="str">
        <x:v>10450268</x:v>
      </x:c>
      <x:c r="B269" t="str">
        <x:v>40870268</x:v>
      </x:c>
      <x:c r="C269" t="str">
        <x:v>2022-06-25</x:v>
      </x:c>
      <x:c r="D269" t="str">
        <x:v>2022-06-27</x:v>
      </x:c>
      <x:c r="E269" t="str">
        <x:v>2022-06-27</x:v>
      </x:c>
      <x:c r="F269" t="str">
        <x:v>U400-DEETHANIZER-500</x:v>
      </x:c>
      <x:c r="G269" t="str">
        <x:v>P-501A</x:v>
      </x:c>
      <x:c r="H269" t="str">
        <x:v>reflux pump A</x:v>
      </x:c>
      <x:c r="I269" t="str">
        <x:v>pump</x:v>
      </x:c>
      <x:c r="J269" t="str">
        <x:v>P3</x:v>
      </x:c>
      <x:c r="K269" t="str">
        <x:v>CLSD</x:v>
      </x:c>
      <x:c r="L269" t="str">
        <x:v>MECH</x:v>
      </x:c>
      <x:c r="M269" t="str">
        <x:v>valve_stiction</x:v>
      </x:c>
      <x:c r="N269" t="str">
        <x:v>low disch press</x:v>
      </x:c>
      <x:c r="O269" t="str">
        <x:v>HYD_LOSS</x:v>
      </x:c>
      <x:c r="P269" t="str">
        <x:v>FOUL</x:v>
      </x:c>
      <x:c r="Q269" t="str">
        <x:v>N</x:v>
      </x:c>
      <x:c r="R269" t="str">
        <x:v>14.2</x:v>
      </x:c>
      <x:c r="S269" t="str">
        <x:v>1095.53</x:v>
      </x:c>
      <x:c r="T269" t="str">
        <x:v>P-501A low disch press again, prod upset</x:v>
      </x:c>
      <x:c r="U269" t="str">
        <x:v>night called for P-501A reflux pump A, position bad seen during valve stiction. Foud low disch press; strainer dirty or impeller wear. History shows same complain last mnth. stroke tested, response better. readng close to dcs after job. notif made by ops, maint attended same shift.</x:v>
      </x:c>
    </x:row>
    <x:row r="270" ht="15" hidden="0" customHeight="1">
      <x:c r="A270" t="str">
        <x:v>10450269</x:v>
      </x:c>
      <x:c r="B270" t="str">
        <x:v>40870269</x:v>
      </x:c>
      <x:c r="C270" t="str">
        <x:v>2022-07-02</x:v>
      </x:c>
      <x:c r="D270" t="str">
        <x:v>2022-07-03</x:v>
      </x:c>
      <x:c r="E270" t="str">
        <x:v>2022-07-03</x:v>
      </x:c>
      <x:c r="F270" t="str">
        <x:v>U400-DEETHANIZER-500</x:v>
      </x:c>
      <x:c r="G270" t="str">
        <x:v>FV-502</x:v>
      </x:c>
      <x:c r="H270" t="str">
        <x:v>reflux flow control valve</x:v>
      </x:c>
      <x:c r="I270" t="str">
        <x:v>control_valve</x:v>
      </x:c>
      <x:c r="J270" t="str">
        <x:v>P2</x:v>
      </x:c>
      <x:c r="K270" t="str">
        <x:v>TECO</x:v>
      </x:c>
      <x:c r="L270" t="str">
        <x:v>VALVE</x:v>
      </x:c>
      <x:c r="M270" t="str">
        <x:v>valve_stiction</x:v>
      </x:c>
      <x:c r="N270" t="str">
        <x:v>passing</x:v>
      </x:c>
      <x:c r="O270" t="str">
        <x:v>LEAK_BY</x:v>
      </x:c>
      <x:c r="P270" t="str">
        <x:v>SEAT</x:v>
      </x:c>
      <x:c r="Q270" t="str">
        <x:v>Y</x:v>
      </x:c>
      <x:c r="R270" t="str">
        <x:v>15.3</x:v>
      </x:c>
      <x:c r="S270" t="str">
        <x:v>550.61</x:v>
      </x:c>
      <x:c r="T270" t="str">
        <x:v>FV-502 passing bad</x:v>
      </x:c>
      <x:c r="U270" t="str">
        <x:v>C shift called for FV-502 reflux flow control valve, position bad seen during valve stiction. Foud passing; seat leak by. History shows same complain last mnth. stroke tested, response better. no leak at handover. notif made by ops, maint attended same shift.</x:v>
      </x:c>
    </x:row>
    <x:row r="271" ht="15" hidden="0" customHeight="1">
      <x:c r="A271" t="str">
        <x:v>10450270</x:v>
      </x:c>
      <x:c r="B271" t="str">
        <x:v>40870270</x:v>
      </x:c>
      <x:c r="C271" t="str">
        <x:v>2022-06-29</x:v>
      </x:c>
      <x:c r="D271" t="str">
        <x:v>2022-06-29</x:v>
      </x:c>
      <x:c r="E271" t="str">
        <x:v>2022-06-30</x:v>
      </x:c>
      <x:c r="F271" t="str">
        <x:v>U400-DEETHANIZER-500</x:v>
      </x:c>
      <x:c r="G271" t="str">
        <x:v>E-503</x:v>
      </x:c>
      <x:c r="H271" t="str">
        <x:v>feed bottoms exchanger</x:v>
      </x:c>
      <x:c r="I271" t="str">
        <x:v>exchanger</x:v>
      </x:c>
      <x:c r="J271" t="str">
        <x:v>P3</x:v>
      </x:c>
      <x:c r="K271" t="str">
        <x:v>TECO</x:v>
      </x:c>
      <x:c r="L271" t="str">
        <x:v>OPS+INST</x:v>
      </x:c>
      <x:c r="M271" t="str">
        <x:v>feed_composition_shift</x:v>
      </x:c>
      <x:c r="N271" t="str">
        <x:v>tube fouling</x:v>
      </x:c>
      <x:c r="O271" t="str">
        <x:v>FOULING</x:v>
      </x:c>
      <x:c r="P271" t="str">
        <x:v>PROCESS</x:v>
      </x:c>
      <x:c r="Q271" t="str">
        <x:v>N</x:v>
      </x:c>
      <x:c r="R271" t="str">
        <x:v>17.1</x:v>
      </x:c>
      <x:c r="S271" t="str">
        <x:v>8694.37</x:v>
      </x:c>
      <x:c r="T271" t="str">
        <x:v>E-503 not ok after feed composition shift</x:v>
      </x:c>
      <x:c r="U271" t="str">
        <x:v>night called for E-503 feed bottoms exchanger, quality bad seen during feed composition shift. Foud tube fouling; duty low, delta t poor. reset trip and monitored for 2 hrs. no leak at handover. notif made by ops, maint attended same shift.</x:v>
      </x:c>
    </x:row>
    <x:row r="272" ht="15" hidden="0" customHeight="1">
      <x:c r="A272" t="str">
        <x:v>10450271</x:v>
      </x:c>
      <x:c r="B272" t="str">
        <x:v>40870271</x:v>
      </x:c>
      <x:c r="C272" t="str">
        <x:v>2022-07-02</x:v>
      </x:c>
      <x:c r="D272" t="str">
        <x:v>2022-07-02</x:v>
      </x:c>
      <x:c r="E272" t="str">
        <x:v>2022-07-04</x:v>
      </x:c>
      <x:c r="F272" t="str">
        <x:v>U400-DEETHANIZER-500</x:v>
      </x:c>
      <x:c r="G272" t="str">
        <x:v>T-501</x:v>
      </x:c>
      <x:c r="H272" t="str">
        <x:v>deethanizer column</x:v>
      </x:c>
      <x:c r="I272" t="str">
        <x:v>column</x:v>
      </x:c>
      <x:c r="J272" t="str">
        <x:v>P3</x:v>
      </x:c>
      <x:c r="K272" t="str">
        <x:v>CLSD</x:v>
      </x:c>
      <x:c r="L272" t="str">
        <x:v>INST</x:v>
      </x:c>
      <x:c r="M272" t="str">
        <x:v>valve_stiction</x:v>
      </x:c>
      <x:c r="N272" t="str">
        <x:v>tray temp bad</x:v>
      </x:c>
      <x:c r="O272" t="str">
        <x:v>TEMP_DEV</x:v>
      </x:c>
      <x:c r="P272" t="str">
        <x:v>PROCESS</x:v>
      </x:c>
      <x:c r="Q272" t="str">
        <x:v>N</x:v>
      </x:c>
      <x:c r="R272" t="str">
        <x:v>8.2</x:v>
      </x:c>
      <x:c r="S272" t="str">
        <x:v>2323.74</x:v>
      </x:c>
      <x:c r="T272" t="str">
        <x:v>T-501 not ok after valve stiction</x:v>
      </x:c>
      <x:c r="U272" t="str">
        <x:v>B shift called for T-501 deethanizer column, valve sticking seen during valve stiction. Foud tray temp bad; profile not normal. Could not get permit first time waiting area gas test. opened strainer, cleaned black sludge. need watch next feed swing. notif made by ops, maint attended same shift.</x:v>
      </x:c>
    </x:row>
    <x:row r="273" ht="15" hidden="0" customHeight="1">
      <x:c r="A273" t="str">
        <x:v>10450272</x:v>
      </x:c>
      <x:c r="B273" t="str">
        <x:v>40870272</x:v>
      </x:c>
      <x:c r="C273" t="str">
        <x:v>2022-07-01</x:v>
      </x:c>
      <x:c r="D273" t="str">
        <x:v>2022-07-02</x:v>
      </x:c>
      <x:c r="E273" t="str">
        <x:v>2022-07-16</x:v>
      </x:c>
      <x:c r="F273" t="str">
        <x:v>U400-DEETHANIZER-500</x:v>
      </x:c>
      <x:c r="G273" t="str">
        <x:v>FT-501</x:v>
      </x:c>
      <x:c r="H273" t="str">
        <x:v>feed flow transmitter</x:v>
      </x:c>
      <x:c r="I273" t="str">
        <x:v>instrument</x:v>
      </x:c>
      <x:c r="J273" t="str">
        <x:v>P2</x:v>
      </x:c>
      <x:c r="K273" t="str">
        <x:v>TECO</x:v>
      </x:c>
      <x:c r="L273" t="str">
        <x:v>ANLYZR</x:v>
      </x:c>
      <x:c r="M273" t="str">
        <x:v>feed_temperature_ramp</x:v>
      </x:c>
      <x:c r="N273" t="str">
        <x:v>no signal</x:v>
      </x:c>
      <x:c r="O273" t="str">
        <x:v>NO_SIGNAL</x:v>
      </x:c>
      <x:c r="P273" t="str">
        <x:v>ELEC</x:v>
      </x:c>
      <x:c r="Q273" t="str">
        <x:v>N</x:v>
      </x:c>
      <x:c r="R273" t="str">
        <x:v>1.8</x:v>
      </x:c>
      <x:c r="S273" t="str">
        <x:v>4115.56</x:v>
      </x:c>
      <x:c r="T273" t="str">
        <x:v>FT-501 feed temp high, no signal</x:v>
      </x:c>
      <x:c r="U273" t="str">
        <x:v>B shift called for FT-501 feed flow transmitter, rb duty up seen during feed temperature ramp. Foud no signal; 24v or card issue. cleaned and put back online. unit stable now. notif made by ops, maint attended same shift.</x:v>
      </x:c>
    </x:row>
    <x:row r="274" ht="15" hidden="0" customHeight="1">
      <x:c r="A274" t="str">
        <x:v>10450273</x:v>
      </x:c>
      <x:c r="B274" t="str">
        <x:v>40870273</x:v>
      </x:c>
      <x:c r="C274" t="str">
        <x:v>2022-07-04</x:v>
      </x:c>
      <x:c r="D274" t="str">
        <x:v>2022-07-06</x:v>
      </x:c>
      <x:c r="E274" t="str">
        <x:v>2022-07-07</x:v>
      </x:c>
      <x:c r="F274" t="str">
        <x:v>U400-DEETHANIZER-500</x:v>
      </x:c>
      <x:c r="G274" t="str">
        <x:v>TV-501</x:v>
      </x:c>
      <x:c r="H274" t="str">
        <x:v>reboiler hot medium valve</x:v>
      </x:c>
      <x:c r="I274" t="str">
        <x:v>control_valve</x:v>
      </x:c>
      <x:c r="J274" t="str">
        <x:v>P3</x:v>
      </x:c>
      <x:c r="K274" t="str">
        <x:v>TECO</x:v>
      </x:c>
      <x:c r="L274" t="str">
        <x:v>ANLYZR</x:v>
      </x:c>
      <x:c r="M274" t="str">
        <x:v>reflux_pump_degradation</x:v>
      </x:c>
      <x:c r="N274" t="str">
        <x:v>passing</x:v>
      </x:c>
      <x:c r="O274" t="str">
        <x:v>LEAK_BY</x:v>
      </x:c>
      <x:c r="P274" t="str">
        <x:v>SEAT</x:v>
      </x:c>
      <x:c r="Q274" t="str">
        <x:v>N</x:v>
      </x:c>
      <x:c r="R274" t="str">
        <x:v>14.4</x:v>
      </x:c>
      <x:c r="S274" t="str">
        <x:v>4623.42</x:v>
      </x:c>
      <x:c r="T274" t="str">
        <x:v>TV-501 min flow hot, passing</x:v>
      </x:c>
      <x:c r="U274" t="str">
        <x:v>days called for TV-501 reboiler hot medium valve, min flow hot seen during reflux pump degradation. Foud passing; seat leak by. Tag plate dirty, confirmd by line up with panel. changed gasket and boxed up. no leak at handover. notif made by ops, maint attended same shift.</x:v>
      </x:c>
    </x:row>
    <x:row r="275" ht="15" hidden="0" customHeight="1">
      <x:c r="A275" t="str">
        <x:v>10450274</x:v>
      </x:c>
      <x:c r="B275" t="str">
        <x:v>40870274</x:v>
      </x:c>
      <x:c r="C275" t="str">
        <x:v>2022-07-06</x:v>
      </x:c>
      <x:c r="D275" t="str">
        <x:v>2022-07-06</x:v>
      </x:c>
      <x:c r="E275" t="str">
        <x:v>2022-07-06</x:v>
      </x:c>
      <x:c r="F275" t="str">
        <x:v>U400-DEETHANIZER-500</x:v>
      </x:c>
      <x:c r="G275" t="str">
        <x:v>PT-501</x:v>
      </x:c>
      <x:c r="H275" t="str">
        <x:v>column overhead pressure tx</x:v>
      </x:c>
      <x:c r="I275" t="str">
        <x:v>instrument</x:v>
      </x:c>
      <x:c r="J275" t="str">
        <x:v>P3</x:v>
      </x:c>
      <x:c r="K275" t="str">
        <x:v>TECO</x:v>
      </x:c>
      <x:c r="L275" t="str">
        <x:v>E&amp;I</x:v>
      </x:c>
      <x:c r="M275" t="str">
        <x:v>condenser_fouling</x:v>
      </x:c>
      <x:c r="N275" t="str">
        <x:v>bad reading</x:v>
      </x:c>
      <x:c r="O275" t="str">
        <x:v>DRIFT</x:v>
      </x:c>
      <x:c r="P275" t="str">
        <x:v>CAL</x:v>
      </x:c>
      <x:c r="Q275" t="str">
        <x:v>N</x:v>
      </x:c>
      <x:c r="R275" t="str">
        <x:v>12.1</x:v>
      </x:c>
      <x:c r="S275" t="str">
        <x:v>337.27</x:v>
      </x:c>
      <x:c r="T275" t="str">
        <x:v>PT-501 bad reading temp fix</x:v>
      </x:c>
      <x:c r="U275" t="str">
        <x:v>days called for PT-501 column overhead pressure tx, drum temp hi seen during condenser fouling. Foud bad reading; needs calib. opened strainer, cleaned black sludge. still little hunting but acceptable. notif made by ops, maint attended same shift.</x:v>
      </x:c>
    </x:row>
    <x:row r="276" ht="15" hidden="0" customHeight="1">
      <x:c r="A276" t="str">
        <x:v>10450275</x:v>
      </x:c>
      <x:c r="B276" t="str">
        <x:v>40870275</x:v>
      </x:c>
      <x:c r="C276" t="str">
        <x:v>2022-07-06</x:v>
      </x:c>
      <x:c r="D276" t="str">
        <x:v>2022-07-07</x:v>
      </x:c>
      <x:c r="E276" t="str">
        <x:v>2022-07-12</x:v>
      </x:c>
      <x:c r="F276" t="str">
        <x:v>U400-DEETHANIZER-500</x:v>
      </x:c>
      <x:c r="G276" t="str">
        <x:v>V-501</x:v>
      </x:c>
      <x:c r="H276" t="str">
        <x:v>deethanizer reflux drum</x:v>
      </x:c>
      <x:c r="I276" t="str">
        <x:v>vessel</x:v>
      </x:c>
      <x:c r="J276" t="str">
        <x:v>P3</x:v>
      </x:c>
      <x:c r="K276" t="str">
        <x:v>CLSD</x:v>
      </x:c>
      <x:c r="L276" t="str">
        <x:v>INST</x:v>
      </x:c>
      <x:c r="M276" t="str">
        <x:v>reboiler_duty_loss</x:v>
      </x:c>
      <x:c r="N276" t="str">
        <x:v>boot drain leak</x:v>
      </x:c>
      <x:c r="O276" t="str">
        <x:v>LEAK</x:v>
      </x:c>
      <x:c r="P276" t="str">
        <x:v>VALVE</x:v>
      </x:c>
      <x:c r="Q276" t="str">
        <x:v>N</x:v>
      </x:c>
      <x:c r="R276" t="str">
        <x:v>5.5</x:v>
      </x:c>
      <x:c r="S276" t="str">
        <x:v>3881.99</x:v>
      </x:c>
      <x:c r="T276" t="str">
        <x:v>V-501 not ok after reboiler duty loss</x:v>
      </x:c>
      <x:c r="U276" t="str">
        <x:v>night called for V-501 deethanizer reflux drum, low heat seen during rebiler duty loss. Foud boot drain leak; closed drain valve passing. flushed impulse/sample line. no leak at handover. notif made by ops, maint attended same shift.</x:v>
      </x:c>
    </x:row>
    <x:row r="277" ht="15" hidden="0" customHeight="1">
      <x:c r="A277" t="str">
        <x:v>10450276</x:v>
      </x:c>
      <x:c r="B277" t="str">
        <x:v>40870276</x:v>
      </x:c>
      <x:c r="C277" t="str">
        <x:v>2022-07-10</x:v>
      </x:c>
      <x:c r="D277" t="str">
        <x:v>2022-07-10</x:v>
      </x:c>
      <x:c r="E277" t="str">
        <x:v>2022-07-11</x:v>
      </x:c>
      <x:c r="F277" t="str">
        <x:v>U400-DEETHANIZER-500</x:v>
      </x:c>
      <x:c r="G277" t="str">
        <x:v>P-501B</x:v>
      </x:c>
      <x:c r="H277" t="str">
        <x:v>reflux pump B</x:v>
      </x:c>
      <x:c r="I277" t="str">
        <x:v>pump</x:v>
      </x:c>
      <x:c r="J277" t="str">
        <x:v>P3</x:v>
      </x:c>
      <x:c r="K277" t="str">
        <x:v>COMP</x:v>
      </x:c>
      <x:c r="L277" t="str">
        <x:v>VALVE</x:v>
      </x:c>
      <x:c r="M277" t="str">
        <x:v>condenser_fouling</x:v>
      </x:c>
      <x:c r="N277" t="str">
        <x:v>low disch press</x:v>
      </x:c>
      <x:c r="O277" t="str">
        <x:v>HYD_LOSS</x:v>
      </x:c>
      <x:c r="P277" t="str">
        <x:v>FOUL</x:v>
      </x:c>
      <x:c r="Q277" t="str">
        <x:v>N</x:v>
      </x:c>
      <x:c r="R277" t="str">
        <x:v>4.7</x:v>
      </x:c>
      <x:c r="S277" t="str">
        <x:v>5590.19</x:v>
      </x:c>
      <x:c r="T277" t="str">
        <x:v>P-501B low disch press again, prod upset</x:v>
      </x:c>
      <x:c r="U277" t="str">
        <x:v>A shift called for P-501B reflux pump B, cw dt low seen during condenser fouling. Foud low disch press; strainer dirty or impeller wear. Line was hot so job done slow and with ops standing by. cleaned and put back online. ops says ok for now. notif made by ops, maint attended same shift.</x:v>
      </x:c>
    </x:row>
    <x:row r="278" ht="15" hidden="0" customHeight="1">
      <x:c r="A278" t="str">
        <x:v>10450277</x:v>
      </x:c>
      <x:c r="B278" t="str">
        <x:v>40870277</x:v>
      </x:c>
      <x:c r="C278" t="str">
        <x:v>2022-07-11</x:v>
      </x:c>
      <x:c r="D278" t="str">
        <x:v>2022-07-11</x:v>
      </x:c>
      <x:c r="E278" t="str">
        <x:v>2022-07-16</x:v>
      </x:c>
      <x:c r="F278" t="str">
        <x:v>U400-DEETHANIZER-500</x:v>
      </x:c>
      <x:c r="G278" t="str">
        <x:v>E-502</x:v>
      </x:c>
      <x:c r="H278" t="str">
        <x:v>deethanizer overhead condenser</x:v>
      </x:c>
      <x:c r="I278" t="str">
        <x:v>condenser</x:v>
      </x:c>
      <x:c r="J278" t="str">
        <x:v>P2</x:v>
      </x:c>
      <x:c r="K278" t="str">
        <x:v>COMP</x:v>
      </x:c>
      <x:c r="L278" t="str">
        <x:v>VALVE</x:v>
      </x:c>
      <x:c r="M278" t="str">
        <x:v>pressure_control_fault</x:v>
      </x:c>
      <x:c r="N278" t="str">
        <x:v>high press</x:v>
      </x:c>
      <x:c r="O278" t="str">
        <x:v>PERF</x:v>
      </x:c>
      <x:c r="P278" t="str">
        <x:v>FOUL</x:v>
      </x:c>
      <x:c r="Q278" t="str">
        <x:v>N</x:v>
      </x:c>
      <x:c r="R278" t="str">
        <x:v>8.4</x:v>
      </x:c>
      <x:c r="S278" t="str">
        <x:v>8215.0</x:v>
      </x:c>
      <x:c r="T278" t="str">
        <x:v>E-502 press spike, high press</x:v>
      </x:c>
      <x:c r="U278" t="str">
        <x:v>B shift called for E-502 deethanizer overhead condenser, pic unstable seen during press control fault. Foud high press; condensing duty poor. History shows same complain last mnth. tightened fittings, leak test ok. no leak at handover. notif made by ops, maint attended same shift.</x:v>
      </x:c>
    </x:row>
    <x:row r="279" ht="15" hidden="0" customHeight="1">
      <x:c r="A279" t="str">
        <x:v>10450278</x:v>
      </x:c>
      <x:c r="B279" t="str">
        <x:v>40870278</x:v>
      </x:c>
      <x:c r="C279" t="str">
        <x:v>2022-07-13</x:v>
      </x:c>
      <x:c r="D279" t="str">
        <x:v>2022-07-13</x:v>
      </x:c>
      <x:c r="E279" t="str">
        <x:v>2022-07-13</x:v>
      </x:c>
      <x:c r="F279" t="str">
        <x:v>U400-DEETHANIZER-500</x:v>
      </x:c>
      <x:c r="G279" t="str">
        <x:v>TV-501</x:v>
      </x:c>
      <x:c r="H279" t="str">
        <x:v>reboiler hot medium valve</x:v>
      </x:c>
      <x:c r="I279" t="str">
        <x:v>control_valve</x:v>
      </x:c>
      <x:c r="J279" t="str">
        <x:v>P3</x:v>
      </x:c>
      <x:c r="K279" t="str">
        <x:v>COMP</x:v>
      </x:c>
      <x:c r="L279" t="str">
        <x:v>ROT</x:v>
      </x:c>
      <x:c r="M279" t="str">
        <x:v>feed_temperature_ramp</x:v>
      </x:c>
      <x:c r="N279" t="str">
        <x:v>hunting loop</x:v>
      </x:c>
      <x:c r="O279" t="str">
        <x:v>CTRL_OSC</x:v>
      </x:c>
      <x:c r="P279" t="str">
        <x:v>TUNE</x:v>
      </x:c>
      <x:c r="Q279" t="str">
        <x:v>N</x:v>
      </x:c>
      <x:c r="R279" t="str">
        <x:v>13.3</x:v>
      </x:c>
      <x:c r="S279" t="str">
        <x:v>2678.93</x:v>
      </x:c>
      <x:c r="T279" t="str">
        <x:v>TV-501 hunting loop chk &amp; revert</x:v>
      </x:c>
      <x:c r="U279" t="str">
        <x:v>night called for TV-501 reboiler hot medium vavle, ovhd press moving seen during feed temperature ramp. Foud hunting loop; bad response after upset. No spare in store at first, used refurb one from shop. opened strainer, cleaned black sludge. no leak at handover. notif made by ops, maint attended same shift.</x:v>
      </x:c>
    </x:row>
    <x:row r="280" ht="15" hidden="0" customHeight="1">
      <x:c r="A280" t="str">
        <x:v>10450279</x:v>
      </x:c>
      <x:c r="B280" t="str">
        <x:v>40870279</x:v>
      </x:c>
      <x:c r="C280" t="str">
        <x:v>2022-07-12</x:v>
      </x:c>
      <x:c r="D280" t="str">
        <x:v>2022-07-13</x:v>
      </x:c>
      <x:c r="E280" t="str">
        <x:v>2022-07-13</x:v>
      </x:c>
      <x:c r="F280" t="str">
        <x:v>U400-DEETHANIZER-500</x:v>
      </x:c>
      <x:c r="G280" t="str">
        <x:v>E-502</x:v>
      </x:c>
      <x:c r="H280" t="str">
        <x:v>deethanizer overhead condenser</x:v>
      </x:c>
      <x:c r="I280" t="str">
        <x:v>condenser</x:v>
      </x:c>
      <x:c r="J280" t="str">
        <x:v>P4</x:v>
      </x:c>
      <x:c r="K280" t="str">
        <x:v>CLSD</x:v>
      </x:c>
      <x:c r="L280" t="str">
        <x:v>ANLYZR</x:v>
      </x:c>
      <x:c r="M280" t="str">
        <x:v>condenser_fouling</x:v>
      </x:c>
      <x:c r="N280" t="str">
        <x:v>high press</x:v>
      </x:c>
      <x:c r="O280" t="str">
        <x:v>PERF</x:v>
      </x:c>
      <x:c r="P280" t="str">
        <x:v>FOUL</x:v>
      </x:c>
      <x:c r="Q280" t="str">
        <x:v>N</x:v>
      </x:c>
      <x:c r="R280" t="str">
        <x:v>15.5</x:v>
      </x:c>
      <x:c r="S280" t="str">
        <x:v>14371.04</x:v>
      </x:c>
      <x:c r="T280" t="str">
        <x:v>E-502 high press ops req</x:v>
      </x:c>
      <x:c r="U280" t="str">
        <x:v>days called for E-502 deethanizer overhead condenser, high ovhd press seen during condenser fouling. Foud high press; condensing duty poor. tightened fittings, leak test ok. no leak at handover. notif made by ops, maint attended same shift.</x:v>
      </x:c>
    </x:row>
    <x:row r="281" ht="15" hidden="0" customHeight="1">
      <x:c r="A281" t="str">
        <x:v>10450280</x:v>
      </x:c>
      <x:c r="B281" t="str">
        <x:v>40870280</x:v>
      </x:c>
      <x:c r="C281" t="str">
        <x:v>2022-07-13</x:v>
      </x:c>
      <x:c r="D281" t="str">
        <x:v>2022-07-13</x:v>
      </x:c>
      <x:c r="E281" t="str">
        <x:v>2022-07-14</x:v>
      </x:c>
      <x:c r="F281" t="str">
        <x:v>U400-DEETHANIZER-500</x:v>
      </x:c>
      <x:c r="G281" t="str">
        <x:v>E-502</x:v>
      </x:c>
      <x:c r="H281" t="str">
        <x:v>deethanizer overhead condenser</x:v>
      </x:c>
      <x:c r="I281" t="str">
        <x:v>condenser</x:v>
      </x:c>
      <x:c r="J281" t="str">
        <x:v>P3</x:v>
      </x:c>
      <x:c r="K281" t="str">
        <x:v>COMP</x:v>
      </x:c>
      <x:c r="L281" t="str">
        <x:v>INST</x:v>
      </x:c>
      <x:c r="M281" t="str">
        <x:v>feed_temperature_ramp</x:v>
      </x:c>
      <x:c r="N281" t="str">
        <x:v>tv no travel</x:v>
      </x:c>
      <x:c r="O281" t="str">
        <x:v>VALVE</x:v>
      </x:c>
      <x:c r="P281" t="str">
        <x:v>STICK</x:v>
      </x:c>
      <x:c r="Q281" t="str">
        <x:v>N</x:v>
      </x:c>
      <x:c r="R281" t="str">
        <x:v>6.3</x:v>
      </x:c>
      <x:c r="S281" t="str">
        <x:v>14908.42</x:v>
      </x:c>
      <x:c r="T281" t="str">
        <x:v>E-502 rb duty up, tv no travel</x:v>
      </x:c>
      <x:c r="U281" t="str">
        <x:v>days called for E-502 deethanizer overhead condenser, tray temp drift seen during feed temperature ramp. Foud tv no travel; cooling valve stuck. stroke tested, response better. unit stable now. notif made by ops, maint attended same shift.</x:v>
      </x:c>
    </x:row>
    <x:row r="282" ht="15" hidden="0" customHeight="1">
      <x:c r="A282" t="str">
        <x:v>10450281</x:v>
      </x:c>
      <x:c r="B282" t="str">
        <x:v>40870281</x:v>
      </x:c>
      <x:c r="C282" t="str">
        <x:v>2022-07-15</x:v>
      </x:c>
      <x:c r="D282" t="str">
        <x:v>2022-07-15</x:v>
      </x:c>
      <x:c r="E282" t="str">
        <x:v>2022-07-16</x:v>
      </x:c>
      <x:c r="F282" t="str">
        <x:v>U400-DEETHANIZER-500</x:v>
      </x:c>
      <x:c r="G282" t="str">
        <x:v>TV-501</x:v>
      </x:c>
      <x:c r="H282" t="str">
        <x:v>reboiler hot medium valve</x:v>
      </x:c>
      <x:c r="I282" t="str">
        <x:v>control_valve</x:v>
      </x:c>
      <x:c r="J282" t="str">
        <x:v>P3</x:v>
      </x:c>
      <x:c r="K282" t="str">
        <x:v>TECO</x:v>
      </x:c>
      <x:c r="L282" t="str">
        <x:v>INST</x:v>
      </x:c>
      <x:c r="M282" t="str">
        <x:v>normal_wear</x:v>
      </x:c>
      <x:c r="N282" t="str">
        <x:v>air leak</x:v>
      </x:c>
      <x:c r="O282" t="str">
        <x:v>AIR_LEAK</x:v>
      </x:c>
      <x:c r="P282" t="str">
        <x:v>TUBING</x:v>
      </x:c>
      <x:c r="Q282" t="str">
        <x:v>N</x:v>
      </x:c>
      <x:c r="R282" t="str">
        <x:v>2.8</x:v>
      </x:c>
      <x:c r="S282" t="str">
        <x:v>5470.11</x:v>
      </x:c>
      <x:c r="T282" t="str">
        <x:v>TV-501 leak, air leak</x:v>
      </x:c>
      <x:c r="U282" t="str">
        <x:v>night called for TV-501 rebiler hot medium valve, pm found defect seen during normal wear. Foud air leak; positioner supply drop. stroke tested, response better. still little hunting but acceptable. notif made by ops, maint attended same shift.</x:v>
      </x:c>
    </x:row>
    <x:row r="283" ht="15" hidden="0" customHeight="1">
      <x:c r="A283" t="str">
        <x:v>10450282</x:v>
      </x:c>
      <x:c r="B283" t="str">
        <x:v>40870282</x:v>
      </x:c>
      <x:c r="C283" t="str">
        <x:v>2022-07-19</x:v>
      </x:c>
      <x:c r="D283" t="str">
        <x:v>2022-07-19</x:v>
      </x:c>
      <x:c r="E283" t="str">
        <x:v>2022-07-21</x:v>
      </x:c>
      <x:c r="F283" t="str">
        <x:v>U400-DEETHANIZER-500</x:v>
      </x:c>
      <x:c r="G283" t="str">
        <x:v>TT-501B</x:v>
      </x:c>
      <x:c r="H283" t="str">
        <x:v>sensitive tray temperature tx</x:v>
      </x:c>
      <x:c r="I283" t="str">
        <x:v>instrument</x:v>
      </x:c>
      <x:c r="J283" t="str">
        <x:v>P4</x:v>
      </x:c>
      <x:c r="K283" t="str">
        <x:v>COMP</x:v>
      </x:c>
      <x:c r="L283" t="str">
        <x:v>ANLYZR</x:v>
      </x:c>
      <x:c r="M283" t="str">
        <x:v>reboiler_duty_loss</x:v>
      </x:c>
      <x:c r="N283" t="str">
        <x:v>no signal</x:v>
      </x:c>
      <x:c r="O283" t="str">
        <x:v>NO_SIGNAL</x:v>
      </x:c>
      <x:c r="P283" t="str">
        <x:v>ELEC</x:v>
      </x:c>
      <x:c r="Q283" t="str">
        <x:v>N</x:v>
      </x:c>
      <x:c r="R283" t="str">
        <x:v>2.1</x:v>
      </x:c>
      <x:c r="S283" t="str">
        <x:v>4496.5</x:v>
      </x:c>
      <x:c r="T283" t="str">
        <x:v>TT-501B not ok after rebiler duty loss</x:v>
      </x:c>
      <x:c r="U283" t="str">
        <x:v>A shift called for TT-501B sensitive tray temp tx, low heat seen during reboiler duty loss. Foud no signal; 24v or card issue. swapped to standby and repaired. unit stable now. notif made by ops, maint attended same shift.</x:v>
      </x:c>
    </x:row>
    <x:row r="284" ht="15" hidden="0" customHeight="1">
      <x:c r="A284" t="str">
        <x:v>10450283</x:v>
      </x:c>
      <x:c r="B284" t="str">
        <x:v>40870283</x:v>
      </x:c>
      <x:c r="C284" t="str">
        <x:v>2022-07-17</x:v>
      </x:c>
      <x:c r="D284" t="str">
        <x:v>2022-07-17</x:v>
      </x:c>
      <x:c r="E284" t="str">
        <x:v>2022-07-18</x:v>
      </x:c>
      <x:c r="F284" t="str">
        <x:v>U400-DEETHANIZER-500</x:v>
      </x:c>
      <x:c r="G284" t="str">
        <x:v>E-503</x:v>
      </x:c>
      <x:c r="H284" t="str">
        <x:v>feed bottoms exchanger</x:v>
      </x:c>
      <x:c r="I284" t="str">
        <x:v>exchanger</x:v>
      </x:c>
      <x:c r="J284" t="str">
        <x:v>P3</x:v>
      </x:c>
      <x:c r="K284" t="str">
        <x:v>CLSD</x:v>
      </x:c>
      <x:c r="L284" t="str">
        <x:v>ROT</x:v>
      </x:c>
      <x:c r="M284" t="str">
        <x:v>feed_composition_shift</x:v>
      </x:c>
      <x:c r="N284" t="str">
        <x:v>tube fouling</x:v>
      </x:c>
      <x:c r="O284" t="str">
        <x:v>FOULING</x:v>
      </x:c>
      <x:c r="P284" t="str">
        <x:v>PROCESS</x:v>
      </x:c>
      <x:c r="Q284" t="str">
        <x:v>N</x:v>
      </x:c>
      <x:c r="R284" t="str">
        <x:v>8.7</x:v>
      </x:c>
      <x:c r="S284" t="str">
        <x:v>13805.06</x:v>
      </x:c>
      <x:c r="T284" t="str">
        <x:v>E-503 btm heavy, tube fouling</x:v>
      </x:c>
      <x:c r="U284" t="str">
        <x:v>C shift called for E-503 feed bottoms exchanger, anlyzr off seen during feed composition shift. Foud tube fouling; duty low, delta t poor. replaced positioner tubing and retuned small. readng close to dcs after job. notif made by ops, maint attended same shift.</x:v>
      </x:c>
    </x:row>
    <x:row r="285" ht="15" hidden="0" customHeight="1">
      <x:c r="A285" t="str">
        <x:v>10450284</x:v>
      </x:c>
      <x:c r="B285" t="str">
        <x:v>40870284</x:v>
      </x:c>
      <x:c r="C285" t="str">
        <x:v>2022-07-24</x:v>
      </x:c>
      <x:c r="D285" t="str">
        <x:v>2022-07-24</x:v>
      </x:c>
      <x:c r="E285" t="str">
        <x:v>2022-07-26</x:v>
      </x:c>
      <x:c r="F285" t="str">
        <x:v>U400-DEETHANIZER-500</x:v>
      </x:c>
      <x:c r="G285" t="str">
        <x:v>PSV-501B</x:v>
      </x:c>
      <x:c r="H285" t="str">
        <x:v>column relief valve B</x:v>
      </x:c>
      <x:c r="I285" t="str">
        <x:v>relief</x:v>
      </x:c>
      <x:c r="J285" t="str">
        <x:v>P2</x:v>
      </x:c>
      <x:c r="K285" t="str">
        <x:v>TECO</x:v>
      </x:c>
      <x:c r="L285" t="str">
        <x:v>OPS+INST</x:v>
      </x:c>
      <x:c r="M285" t="str">
        <x:v>pressure_control_fault</x:v>
      </x:c>
      <x:c r="N285" t="str">
        <x:v>seat passing</x:v>
      </x:c>
      <x:c r="O285" t="str">
        <x:v>LEAK_BY</x:v>
      </x:c>
      <x:c r="P285" t="str">
        <x:v>SEAT</x:v>
      </x:c>
      <x:c r="Q285" t="str">
        <x:v>N</x:v>
      </x:c>
      <x:c r="R285" t="str">
        <x:v>10.5</x:v>
      </x:c>
      <x:c r="S285" t="str">
        <x:v>2813.83</x:v>
      </x:c>
      <x:c r="T285" t="str">
        <x:v>PSV-501B pic unstable, seat passing</x:v>
      </x:c>
      <x:c r="U285" t="str">
        <x:v>days called for PSV-501B column relief valve B, pic unstable seen during pressure control fault. Foud seat passing; tail pipe warm. cleaned and put back online. need watch next feed swing. notif made by ops, maint attended same shift.</x:v>
      </x:c>
    </x:row>
    <x:row r="286" ht="15" hidden="0" customHeight="1">
      <x:c r="A286" t="str">
        <x:v>10450285</x:v>
      </x:c>
      <x:c r="B286" t="str">
        <x:v>40870285</x:v>
      </x:c>
      <x:c r="C286" t="str">
        <x:v>2022-07-24</x:v>
      </x:c>
      <x:c r="D286" t="str">
        <x:v>2022-07-24</x:v>
      </x:c>
      <x:c r="E286" t="str">
        <x:v>2022-07-25</x:v>
      </x:c>
      <x:c r="F286" t="str">
        <x:v>U400-DEETHANIZER-500</x:v>
      </x:c>
      <x:c r="G286" t="str">
        <x:v>AIT-501</x:v>
      </x:c>
      <x:c r="H286" t="str">
        <x:v>overhead C2 analyzer</x:v>
      </x:c>
      <x:c r="I286" t="str">
        <x:v>analyzer</x:v>
      </x:c>
      <x:c r="J286" t="str">
        <x:v>P2</x:v>
      </x:c>
      <x:c r="K286" t="str">
        <x:v>TECO</x:v>
      </x:c>
      <x:c r="L286" t="str">
        <x:v>OPS+INST</x:v>
      </x:c>
      <x:c r="M286" t="str">
        <x:v>feed_composition_shift</x:v>
      </x:c>
      <x:c r="N286" t="str">
        <x:v>sample plugged</x:v>
      </x:c>
      <x:c r="O286" t="str">
        <x:v>PLUG</x:v>
      </x:c>
      <x:c r="P286" t="str">
        <x:v>SAMPLE</x:v>
      </x:c>
      <x:c r="Q286" t="str">
        <x:v>N</x:v>
      </x:c>
      <x:c r="R286" t="str">
        <x:v>1.6</x:v>
      </x:c>
      <x:c r="S286" t="str">
        <x:v>1725.26</x:v>
      </x:c>
      <x:c r="T286" t="str">
        <x:v>chk AIT-501 - sample plugged frm ops</x:v>
      </x:c>
      <x:c r="U286" t="str">
        <x:v>C shift called for AIT-501 overhead C2 analyzer, ovhd c3 slip seen during feed composition shift. Foud sample plugged; fast loop low flow. No spare in store at first, used refurb one from shop. replaced positioner tubing and retuned small. unit stable now. notif made by ops, maint attended same shift.</x:v>
      </x:c>
    </x:row>
    <x:row r="287" ht="15" hidden="0" customHeight="1">
      <x:c r="A287" t="str">
        <x:v>10450286</x:v>
      </x:c>
      <x:c r="B287" t="str">
        <x:v>40870286</x:v>
      </x:c>
      <x:c r="C287" t="str">
        <x:v>2022-07-27</x:v>
      </x:c>
      <x:c r="D287" t="str">
        <x:v>2022-07-28</x:v>
      </x:c>
      <x:c r="E287" t="str">
        <x:v>2022-07-29</x:v>
      </x:c>
      <x:c r="F287" t="str">
        <x:v>U400-DEETHANIZER-500</x:v>
      </x:c>
      <x:c r="G287" t="str">
        <x:v>E-501</x:v>
      </x:c>
      <x:c r="H287" t="str">
        <x:v>deethanizer reboiler</x:v>
      </x:c>
      <x:c r="I287" t="str">
        <x:v>reboiler</x:v>
      </x:c>
      <x:c r="J287" t="str">
        <x:v>P2</x:v>
      </x:c>
      <x:c r="K287" t="str">
        <x:v>TECO</x:v>
      </x:c>
      <x:c r="L287" t="str">
        <x:v>ROT</x:v>
      </x:c>
      <x:c r="M287" t="str">
        <x:v>feed_temperature_ramp</x:v>
      </x:c>
      <x:c r="N287" t="str">
        <x:v>circ poor</x:v>
      </x:c>
      <x:c r="O287" t="str">
        <x:v>NO_FLOW</x:v>
      </x:c>
      <x:c r="P287" t="str">
        <x:v>PLUG</x:v>
      </x:c>
      <x:c r="Q287" t="str">
        <x:v>N</x:v>
      </x:c>
      <x:c r="R287" t="str">
        <x:v>1.3</x:v>
      </x:c>
      <x:c r="S287" t="str">
        <x:v>6624.73</x:v>
      </x:c>
      <x:c r="T287" t="str">
        <x:v>E-501 circ poor again, prod upset</x:v>
      </x:c>
      <x:c r="U287" t="str">
        <x:v>A shift called for E-501 deethanizer reboiler, tray temp drift seen during feed temperature ramp. Foud circ poor; blocked inlet screen. flushed impulse/sample line. still little hunting but acceptable. notif made by ops, maint attended same shift.</x:v>
      </x:c>
    </x:row>
    <x:row r="288" ht="15" hidden="0" customHeight="1">
      <x:c r="A288" t="str">
        <x:v>10450287</x:v>
      </x:c>
      <x:c r="B288" t="str">
        <x:v>40870287</x:v>
      </x:c>
      <x:c r="C288" t="str">
        <x:v>2022-07-23</x:v>
      </x:c>
      <x:c r="D288" t="str">
        <x:v>2022-07-23</x:v>
      </x:c>
      <x:c r="E288" t="str">
        <x:v>2022-07-26</x:v>
      </x:c>
      <x:c r="F288" t="str">
        <x:v>U400-DEETHANIZER-500</x:v>
      </x:c>
      <x:c r="G288" t="str">
        <x:v>FV-502</x:v>
      </x:c>
      <x:c r="H288" t="str">
        <x:v>reflux flow control valve</x:v>
      </x:c>
      <x:c r="I288" t="str">
        <x:v>control_valve</x:v>
      </x:c>
      <x:c r="J288" t="str">
        <x:v>P4</x:v>
      </x:c>
      <x:c r="K288" t="str">
        <x:v>TECO</x:v>
      </x:c>
      <x:c r="L288" t="str">
        <x:v>OPS+INST</x:v>
      </x:c>
      <x:c r="M288" t="str">
        <x:v>feed_composition_shift</x:v>
      </x:c>
      <x:c r="N288" t="str">
        <x:v>hunting loop</x:v>
      </x:c>
      <x:c r="O288" t="str">
        <x:v>CTRL_OSC</x:v>
      </x:c>
      <x:c r="P288" t="str">
        <x:v>TUNE</x:v>
      </x:c>
      <x:c r="Q288" t="str">
        <x:v>N</x:v>
      </x:c>
      <x:c r="R288" t="str">
        <x:v>9.0</x:v>
      </x:c>
      <x:c r="S288" t="str">
        <x:v>3930.32</x:v>
      </x:c>
      <x:c r="T288" t="str">
        <x:v>FV-502 not ok after feed composition shift</x:v>
      </x:c>
      <x:c r="U288" t="str">
        <x:v>A shift called for FV-502 reflux flow ctrl valve, anlyzr off seen during feed composition shift. Foud hunting loop; bad response after upset. Could not get permit first time waiting area gas test. tightened fittings, leak test ok. need watch next feed swing. notif made by ops, maint attended same shift.</x:v>
      </x:c>
    </x:row>
    <x:row r="289" ht="15" hidden="0" customHeight="1">
      <x:c r="A289" t="str">
        <x:v>10450288</x:v>
      </x:c>
      <x:c r="B289" t="str">
        <x:v>40870288</x:v>
      </x:c>
      <x:c r="C289" t="str">
        <x:v>2022-07-30</x:v>
      </x:c>
      <x:c r="D289" t="str">
        <x:v>2022-07-30</x:v>
      </x:c>
      <x:c r="E289" t="str">
        <x:v>2022-07-31</x:v>
      </x:c>
      <x:c r="F289" t="str">
        <x:v>U400-DEETHANIZER-500</x:v>
      </x:c>
      <x:c r="G289" t="str">
        <x:v>P-501A</x:v>
      </x:c>
      <x:c r="H289" t="str">
        <x:v>reflux pump A</x:v>
      </x:c>
      <x:c r="I289" t="str">
        <x:v>pump</x:v>
      </x:c>
      <x:c r="J289" t="str">
        <x:v>P4</x:v>
      </x:c>
      <x:c r="K289" t="str">
        <x:v>COMP</x:v>
      </x:c>
      <x:c r="L289" t="str">
        <x:v>OPS+MECH</x:v>
      </x:c>
      <x:c r="M289" t="str">
        <x:v>reboiler_duty_loss</x:v>
      </x:c>
      <x:c r="N289" t="str">
        <x:v>motor trip</x:v>
      </x:c>
      <x:c r="O289" t="str">
        <x:v>MOTOR</x:v>
      </x:c>
      <x:c r="P289" t="str">
        <x:v>ELEC</x:v>
      </x:c>
      <x:c r="Q289" t="str">
        <x:v>N</x:v>
      </x:c>
      <x:c r="R289" t="str">
        <x:v>4.1</x:v>
      </x:c>
      <x:c r="S289" t="str">
        <x:v>5298.66</x:v>
      </x:c>
      <x:c r="T289" t="str">
        <x:v>P-501A rb circ cold, motor trip</x:v>
      </x:c>
      <x:c r="U289" t="str">
        <x:v>C shift called for P-501A reflux pump A, c2 in btm seen during reboiler duty loss. Foud motor trip; overload trip after upset. cleaned and put back online. still little hunting but acceptable. notif made by ops, maint attended same shift.</x:v>
      </x:c>
    </x:row>
    <x:row r="290" ht="15" hidden="0" customHeight="1">
      <x:c r="A290" t="str">
        <x:v>10450289</x:v>
      </x:c>
      <x:c r="B290" t="str">
        <x:v>40870289</x:v>
      </x:c>
      <x:c r="C290" t="str">
        <x:v>2022-07-26</x:v>
      </x:c>
      <x:c r="D290" t="str">
        <x:v>2022-07-26</x:v>
      </x:c>
      <x:c r="E290" t="str">
        <x:v>2022-08-02</x:v>
      </x:c>
      <x:c r="F290" t="str">
        <x:v>U400-DEETHANIZER-500</x:v>
      </x:c>
      <x:c r="G290" t="str">
        <x:v>E-501</x:v>
      </x:c>
      <x:c r="H290" t="str">
        <x:v>deethanizer reboiler</x:v>
      </x:c>
      <x:c r="I290" t="str">
        <x:v>reboiler</x:v>
      </x:c>
      <x:c r="J290" t="str">
        <x:v>P4</x:v>
      </x:c>
      <x:c r="K290" t="str">
        <x:v>TECO</x:v>
      </x:c>
      <x:c r="L290" t="str">
        <x:v>OPS+MECH</x:v>
      </x:c>
      <x:c r="M290" t="str">
        <x:v>reboiler_duty_loss</x:v>
      </x:c>
      <x:c r="N290" t="str">
        <x:v>rb leak</x:v>
      </x:c>
      <x:c r="O290" t="str">
        <x:v>LEAK</x:v>
      </x:c>
      <x:c r="P290" t="str">
        <x:v>GASKET</x:v>
      </x:c>
      <x:c r="Q290" t="str">
        <x:v>N</x:v>
      </x:c>
      <x:c r="R290" t="str">
        <x:v>3.5</x:v>
      </x:c>
      <x:c r="S290" t="str">
        <x:v>2926.43</x:v>
      </x:c>
      <x:c r="T290" t="str">
        <x:v>E-501 not ok after reboiler duty loss</x:v>
      </x:c>
      <x:c r="U290" t="str">
        <x:v>A shift called for E-501 deethanizer reboiler, rb circ cold seen during reboiler duty loss. Foud rb leak; channel flange weep. cleaned and put back online. need watch next feed swing. notif made by ops, maint attended same shift.</x:v>
      </x:c>
    </x:row>
    <x:row r="291" ht="15" hidden="0" customHeight="1">
      <x:c r="A291" t="str">
        <x:v>10450290</x:v>
      </x:c>
      <x:c r="B291" t="str">
        <x:v>40870290</x:v>
      </x:c>
      <x:c r="C291" t="str">
        <x:v>2022-08-01</x:v>
      </x:c>
      <x:c r="D291" t="str">
        <x:v>2022-08-02</x:v>
      </x:c>
      <x:c r="E291" t="str">
        <x:v>2022-08-03</x:v>
      </x:c>
      <x:c r="F291" t="str">
        <x:v>U400-DEETHANIZER-500</x:v>
      </x:c>
      <x:c r="G291" t="str">
        <x:v>FV-501</x:v>
      </x:c>
      <x:c r="H291" t="str">
        <x:v>feed flow control valve</x:v>
      </x:c>
      <x:c r="I291" t="str">
        <x:v>control_valve</x:v>
      </x:c>
      <x:c r="J291" t="str">
        <x:v>P3</x:v>
      </x:c>
      <x:c r="K291" t="str">
        <x:v>TECO</x:v>
      </x:c>
      <x:c r="L291" t="str">
        <x:v>MECH</x:v>
      </x:c>
      <x:c r="M291" t="str">
        <x:v>valve_stiction</x:v>
      </x:c>
      <x:c r="N291" t="str">
        <x:v>air leak</x:v>
      </x:c>
      <x:c r="O291" t="str">
        <x:v>AIR_LEAK</x:v>
      </x:c>
      <x:c r="P291" t="str">
        <x:v>TUBING</x:v>
      </x:c>
      <x:c r="Q291" t="str">
        <x:v>N</x:v>
      </x:c>
      <x:c r="R291" t="str">
        <x:v>4.7</x:v>
      </x:c>
      <x:c r="S291" t="str">
        <x:v>3556.27</x:v>
      </x:c>
      <x:c r="T291" t="str">
        <x:v>FV-501 air leak, air leak</x:v>
      </x:c>
      <x:c r="U291" t="str">
        <x:v>C shift called for FV-501 feed flow control valve, op jumps seen during valve stiction. Foud air leak; positioner supply drop. Tag plate dirty, confirmd by line up with panel. swapped to standby and repaired. temp repair only, plan shutdown job. notif made by ops, maint attended same shift.</x:v>
      </x:c>
    </x:row>
    <x:row r="292" ht="15" hidden="0" customHeight="1">
      <x:c r="A292" t="str">
        <x:v>10450291</x:v>
      </x:c>
      <x:c r="B292" t="str">
        <x:v>40870291</x:v>
      </x:c>
      <x:c r="C292" t="str">
        <x:v>2022-07-30</x:v>
      </x:c>
      <x:c r="D292" t="str">
        <x:v>2022-07-30</x:v>
      </x:c>
      <x:c r="E292" t="str">
        <x:v>2022-07-31</x:v>
      </x:c>
      <x:c r="F292" t="str">
        <x:v>U400-DEETHANIZER-500</x:v>
      </x:c>
      <x:c r="G292" t="str">
        <x:v>FT-501</x:v>
      </x:c>
      <x:c r="H292" t="str">
        <x:v>feed flow transmitter</x:v>
      </x:c>
      <x:c r="I292" t="str">
        <x:v>instrument</x:v>
      </x:c>
      <x:c r="J292" t="str">
        <x:v>P4</x:v>
      </x:c>
      <x:c r="K292" t="str">
        <x:v>COMP</x:v>
      </x:c>
      <x:c r="L292" t="str">
        <x:v>E&amp;I</x:v>
      </x:c>
      <x:c r="M292" t="str">
        <x:v>feed_flow_step</x:v>
      </x:c>
      <x:c r="N292" t="str">
        <x:v>loose wire</x:v>
      </x:c>
      <x:c r="O292" t="str">
        <x:v>SIGNAL</x:v>
      </x:c>
      <x:c r="P292" t="str">
        <x:v>ELEC</x:v>
      </x:c>
      <x:c r="Q292" t="str">
        <x:v>N</x:v>
      </x:c>
      <x:c r="R292" t="str">
        <x:v>12.4</x:v>
      </x:c>
      <x:c r="S292" t="str">
        <x:v>3279.06</x:v>
      </x:c>
      <x:c r="T292" t="str">
        <x:v>chk FT-501 - loose wire frm ops</x:v>
      </x:c>
      <x:c r="U292" t="str">
        <x:v>B shift called for FT-501 feed flow tx, c2 recov down seen during feed flow step. Foud loose wire; term loose. replaced positioner tubing and retuned small. ops says ok for now. notif made by ops, maint attended same shift.</x:v>
      </x:c>
    </x:row>
    <x:row r="293" ht="15" hidden="0" customHeight="1">
      <x:c r="A293" t="str">
        <x:v>10450292</x:v>
      </x:c>
      <x:c r="B293" t="str">
        <x:v>40870292</x:v>
      </x:c>
      <x:c r="C293" t="str">
        <x:v>2022-08-04</x:v>
      </x:c>
      <x:c r="D293" t="str">
        <x:v>2022-08-06</x:v>
      </x:c>
      <x:c r="E293" t="str">
        <x:v>2022-08-08</x:v>
      </x:c>
      <x:c r="F293" t="str">
        <x:v>U400-DEETHANIZER-500</x:v>
      </x:c>
      <x:c r="G293" t="str">
        <x:v>E-502</x:v>
      </x:c>
      <x:c r="H293" t="str">
        <x:v>deethanizer overhead condenser</x:v>
      </x:c>
      <x:c r="I293" t="str">
        <x:v>condenser</x:v>
      </x:c>
      <x:c r="J293" t="str">
        <x:v>P2</x:v>
      </x:c>
      <x:c r="K293" t="str">
        <x:v>CLSD</x:v>
      </x:c>
      <x:c r="L293" t="str">
        <x:v>E&amp;I</x:v>
      </x:c>
      <x:c r="M293" t="str">
        <x:v>condenser_fouling</x:v>
      </x:c>
      <x:c r="N293" t="str">
        <x:v>cw fouling</x:v>
      </x:c>
      <x:c r="O293" t="str">
        <x:v>FOULING</x:v>
      </x:c>
      <x:c r="P293" t="str">
        <x:v>UTILITY</x:v>
      </x:c>
      <x:c r="Q293" t="str">
        <x:v>Y</x:v>
      </x:c>
      <x:c r="R293" t="str">
        <x:v>12.2</x:v>
      </x:c>
      <x:c r="S293" t="str">
        <x:v>10142.64</x:v>
      </x:c>
      <x:c r="T293" t="str">
        <x:v>E-502 cw fouling after upset</x:v>
      </x:c>
      <x:c r="U293" t="str">
        <x:v>C shift called for E-502 deethanizer overhead condenser, cond not pullng seen during condenser fouling. Foud cw fouling; cw side scaled. flushed impulse/sample line. unit stable now. notif made by ops, maint attended same shift.</x:v>
      </x:c>
    </x:row>
    <x:row r="294" ht="15" hidden="0" customHeight="1">
      <x:c r="A294" t="str">
        <x:v>10450293</x:v>
      </x:c>
      <x:c r="B294" t="str">
        <x:v>40870293</x:v>
      </x:c>
      <x:c r="C294" t="str">
        <x:v>2022-08-01</x:v>
      </x:c>
      <x:c r="D294" t="str">
        <x:v>2022-08-01</x:v>
      </x:c>
      <x:c r="E294" t="str">
        <x:v>2022-08-01</x:v>
      </x:c>
      <x:c r="F294" t="str">
        <x:v>U400-DEETHANIZER-500</x:v>
      </x:c>
      <x:c r="G294" t="str">
        <x:v>E-501</x:v>
      </x:c>
      <x:c r="H294" t="str">
        <x:v>deethanizer reboiler</x:v>
      </x:c>
      <x:c r="I294" t="str">
        <x:v>reboiler</x:v>
      </x:c>
      <x:c r="J294" t="str">
        <x:v>P3</x:v>
      </x:c>
      <x:c r="K294" t="str">
        <x:v>COMP</x:v>
      </x:c>
      <x:c r="L294" t="str">
        <x:v>OPS+INST</x:v>
      </x:c>
      <x:c r="M294" t="str">
        <x:v>reboiler_duty_loss</x:v>
      </x:c>
      <x:c r="N294" t="str">
        <x:v>low duty</x:v>
      </x:c>
      <x:c r="O294" t="str">
        <x:v>DUTY_LOSS</x:v>
      </x:c>
      <x:c r="P294" t="str">
        <x:v>UTILITY</x:v>
      </x:c>
      <x:c r="Q294" t="str">
        <x:v>N</x:v>
      </x:c>
      <x:c r="R294" t="str">
        <x:v>6.0</x:v>
      </x:c>
      <x:c r="S294" t="str">
        <x:v>2902.09</x:v>
      </x:c>
      <x:c r="T294" t="str">
        <x:v>E-501 steam/hm valve no resp, low duty</x:v>
      </x:c>
      <x:c r="U294" t="str">
        <x:v>B shift called for E-501 deethanizer reboiler, c2 in btm seen during reboiler duty loss. Foud low duty; hm valve/strainer issue. cleaned and put back online. temp repair only, plan shutdown job. notif made by ops, maint attended same shift.</x:v>
      </x:c>
    </x:row>
    <x:row r="295" ht="15" hidden="0" customHeight="1">
      <x:c r="A295" t="str">
        <x:v>10450294</x:v>
      </x:c>
      <x:c r="B295" t="str">
        <x:v>40870294</x:v>
      </x:c>
      <x:c r="C295" t="str">
        <x:v>2022-08-02</x:v>
      </x:c>
      <x:c r="D295" t="str">
        <x:v>2022-08-02</x:v>
      </x:c>
      <x:c r="E295" t="str">
        <x:v>2022-08-07</x:v>
      </x:c>
      <x:c r="F295" t="str">
        <x:v>U400-DEETHANIZER-500</x:v>
      </x:c>
      <x:c r="G295" t="str">
        <x:v>P-501B</x:v>
      </x:c>
      <x:c r="H295" t="str">
        <x:v>reflux pump B</x:v>
      </x:c>
      <x:c r="I295" t="str">
        <x:v>pump</x:v>
      </x:c>
      <x:c r="J295" t="str">
        <x:v>P2</x:v>
      </x:c>
      <x:c r="K295" t="str">
        <x:v>TECO</x:v>
      </x:c>
      <x:c r="L295" t="str">
        <x:v>VALVE</x:v>
      </x:c>
      <x:c r="M295" t="str">
        <x:v>reflux_pump_degradation</x:v>
      </x:c>
      <x:c r="N295" t="str">
        <x:v>bearing hot</x:v>
      </x:c>
      <x:c r="O295" t="str">
        <x:v>BRG</x:v>
      </x:c>
      <x:c r="P295" t="str">
        <x:v>WEAR</x:v>
      </x:c>
      <x:c r="Q295" t="str">
        <x:v>N</x:v>
      </x:c>
      <x:c r="R295" t="str">
        <x:v>2.9</x:v>
      </x:c>
      <x:c r="S295" t="str">
        <x:v>6027.59</x:v>
      </x:c>
      <x:c r="T295" t="str">
        <x:v>chk P-501B - bearing hot frm ops</x:v>
      </x:c>
      <x:c r="U295" t="str">
        <x:v>A shift called for P-501B reflux pump B, low reflux seen during reflux pump degradation. Foud bearing hot; brg rough, lube dark. changed gasket and boxed up. temp repair only, plan shutdown job. notif made by ops, maint attended same shift.</x:v>
      </x:c>
    </x:row>
    <x:row r="296" ht="15" hidden="0" customHeight="1">
      <x:c r="A296" t="str">
        <x:v>10450295</x:v>
      </x:c>
      <x:c r="B296" t="str">
        <x:v>40870295</x:v>
      </x:c>
      <x:c r="C296" t="str">
        <x:v>2022-08-04</x:v>
      </x:c>
      <x:c r="D296" t="str">
        <x:v>2022-08-04</x:v>
      </x:c>
      <x:c r="E296" t="str">
        <x:v>2022-08-11</x:v>
      </x:c>
      <x:c r="F296" t="str">
        <x:v>U400-DEETHANIZER-500</x:v>
      </x:c>
      <x:c r="G296" t="str">
        <x:v>PV-501</x:v>
      </x:c>
      <x:c r="H296" t="str">
        <x:v>column pressure control valve</x:v>
      </x:c>
      <x:c r="I296" t="str">
        <x:v>control_valve</x:v>
      </x:c>
      <x:c r="J296" t="str">
        <x:v>P3</x:v>
      </x:c>
      <x:c r="K296" t="str">
        <x:v>CLSD</x:v>
      </x:c>
      <x:c r="L296" t="str">
        <x:v>OPS+MECH</x:v>
      </x:c>
      <x:c r="M296" t="str">
        <x:v>valve_stiction</x:v>
      </x:c>
      <x:c r="N296" t="str">
        <x:v>hunting loop</x:v>
      </x:c>
      <x:c r="O296" t="str">
        <x:v>CTRL_OSC</x:v>
      </x:c>
      <x:c r="P296" t="str">
        <x:v>TUNE</x:v>
      </x:c>
      <x:c r="Q296" t="str">
        <x:v>N</x:v>
      </x:c>
      <x:c r="R296" t="str">
        <x:v>1.0</x:v>
      </x:c>
      <x:c r="S296" t="str">
        <x:v>3348.59</x:v>
      </x:c>
      <x:c r="T296" t="str">
        <x:v>PV-501 hunting loop again, prod upset</x:v>
      </x:c>
      <x:c r="U296" t="str">
        <x:v>C shift called for PV-501 column pressure control valve, position bad seen during valve stiction. Foud hunting loop; bad response after upset. tightened fittings, leak test ok. readng close to dcs after job. notif made by ops, maint attended same shift.</x:v>
      </x:c>
    </x:row>
    <x:row r="297" ht="15" hidden="0" customHeight="1">
      <x:c r="A297" t="str">
        <x:v>10450296</x:v>
      </x:c>
      <x:c r="B297" t="str">
        <x:v>40870296</x:v>
      </x:c>
      <x:c r="C297" t="str">
        <x:v>2022-08-05</x:v>
      </x:c>
      <x:c r="D297" t="str">
        <x:v>2022-08-05</x:v>
      </x:c>
      <x:c r="E297" t="str">
        <x:v>2022-08-08</x:v>
      </x:c>
      <x:c r="F297" t="str">
        <x:v>U400-DEETHANIZER-500</x:v>
      </x:c>
      <x:c r="G297" t="str">
        <x:v>FT-501</x:v>
      </x:c>
      <x:c r="H297" t="str">
        <x:v>feed flow transmitter</x:v>
      </x:c>
      <x:c r="I297" t="str">
        <x:v>instrument</x:v>
      </x:c>
      <x:c r="J297" t="str">
        <x:v>P3</x:v>
      </x:c>
      <x:c r="K297" t="str">
        <x:v>TECO</x:v>
      </x:c>
      <x:c r="L297" t="str">
        <x:v>E&amp;I</x:v>
      </x:c>
      <x:c r="M297" t="str">
        <x:v>feed_flow_step</x:v>
      </x:c>
      <x:c r="N297" t="str">
        <x:v>loose wire</x:v>
      </x:c>
      <x:c r="O297" t="str">
        <x:v>SIGNAL</x:v>
      </x:c>
      <x:c r="P297" t="str">
        <x:v>ELEC</x:v>
      </x:c>
      <x:c r="Q297" t="str">
        <x:v>N</x:v>
      </x:c>
      <x:c r="R297" t="str">
        <x:v>11.8</x:v>
      </x:c>
      <x:c r="S297" t="str">
        <x:v>3642.1</x:v>
      </x:c>
      <x:c r="T297" t="str">
        <x:v>FT-501 loose wire chk &amp; revert</x:v>
      </x:c>
      <x:c r="U297" t="str">
        <x:v>C shift called for FT-501 feed flow transmitter, fic hunting seen during feed flow step. Foud loose wire; term loose. Tag plate dirty, confirmd by line up with panel. changed gasket and boxed up. no leak at handover. notif made by ops, maint attended same shift.</x:v>
      </x:c>
    </x:row>
    <x:row r="298" ht="15" hidden="0" customHeight="1">
      <x:c r="A298" t="str">
        <x:v>10450297</x:v>
      </x:c>
      <x:c r="B298" t="str">
        <x:v>40870297</x:v>
      </x:c>
      <x:c r="C298" t="str">
        <x:v>2022-08-09</x:v>
      </x:c>
      <x:c r="D298" t="str">
        <x:v>2022-08-09</x:v>
      </x:c>
      <x:c r="E298" t="str">
        <x:v>2022-08-10</x:v>
      </x:c>
      <x:c r="F298" t="str">
        <x:v>U400-DEETHANIZER-500</x:v>
      </x:c>
      <x:c r="G298" t="str">
        <x:v>TT-501B</x:v>
      </x:c>
      <x:c r="H298" t="str">
        <x:v>sensitive tray temperature tx</x:v>
      </x:c>
      <x:c r="I298" t="str">
        <x:v>instrument</x:v>
      </x:c>
      <x:c r="J298" t="str">
        <x:v>P2</x:v>
      </x:c>
      <x:c r="K298" t="str">
        <x:v>COMP</x:v>
      </x:c>
      <x:c r="L298" t="str">
        <x:v>E&amp;I</x:v>
      </x:c>
      <x:c r="M298" t="str">
        <x:v>reboiler_duty_loss</x:v>
      </x:c>
      <x:c r="N298" t="str">
        <x:v>bad reading</x:v>
      </x:c>
      <x:c r="O298" t="str">
        <x:v>DRIFT</x:v>
      </x:c>
      <x:c r="P298" t="str">
        <x:v>CAL</x:v>
      </x:c>
      <x:c r="Q298" t="str">
        <x:v>N</x:v>
      </x:c>
      <x:c r="R298" t="str">
        <x:v>5.2</x:v>
      </x:c>
      <x:c r="S298" t="str">
        <x:v>4160.74</x:v>
      </x:c>
      <x:c r="T298" t="str">
        <x:v>TT-501B not ok after reboiler duty loss</x:v>
      </x:c>
      <x:c r="U298" t="str">
        <x:v>A shift called for TT-501B sensitive tray temp tx, low heat seen during reboiler duty loss. Foud bad reading; needs calib. calibrated, loop checked with CCR. temp repair only, plan shutdown job. notif made by ops, maint attended same shift.</x:v>
      </x:c>
    </x:row>
    <x:row r="299" ht="15" hidden="0" customHeight="1">
      <x:c r="A299" t="str">
        <x:v>10450298</x:v>
      </x:c>
      <x:c r="B299" t="str">
        <x:v>40870298</x:v>
      </x:c>
      <x:c r="C299" t="str">
        <x:v>2022-08-12</x:v>
      </x:c>
      <x:c r="D299" t="str">
        <x:v>2022-08-14</x:v>
      </x:c>
      <x:c r="E299" t="str">
        <x:v>2022-08-14</x:v>
      </x:c>
      <x:c r="F299" t="str">
        <x:v>U400-DEETHANIZER-500</x:v>
      </x:c>
      <x:c r="G299" t="str">
        <x:v>FT-502</x:v>
      </x:c>
      <x:c r="H299" t="str">
        <x:v>reflux flow transmitter</x:v>
      </x:c>
      <x:c r="I299" t="str">
        <x:v>instrument</x:v>
      </x:c>
      <x:c r="J299" t="str">
        <x:v>P3</x:v>
      </x:c>
      <x:c r="K299" t="str">
        <x:v>CLSD</x:v>
      </x:c>
      <x:c r="L299" t="str">
        <x:v>INST</x:v>
      </x:c>
      <x:c r="M299" t="str">
        <x:v>reflux_pump_degradation</x:v>
      </x:c>
      <x:c r="N299" t="str">
        <x:v>range err</x:v>
      </x:c>
      <x:c r="O299" t="str">
        <x:v>SPAN</x:v>
      </x:c>
      <x:c r="P299" t="str">
        <x:v>CAL</x:v>
      </x:c>
      <x:c r="Q299" t="str">
        <x:v>N</x:v>
      </x:c>
      <x:c r="R299" t="str">
        <x:v>1.4</x:v>
      </x:c>
      <x:c r="S299" t="str">
        <x:v>2129.99</x:v>
      </x:c>
      <x:c r="T299" t="str">
        <x:v>FT-502 not ok after reflux pump degradation</x:v>
      </x:c>
      <x:c r="U299" t="str">
        <x:v>night called for FT-502 rflx flow transmitter, pump vib seen during rflx pump degradation. Foud range err; span shifted. swapped to standby and repaired. need watch next feed swing. notif made by ops, maint attended same shift.</x:v>
      </x:c>
    </x:row>
    <x:row r="300" ht="15" hidden="0" customHeight="1">
      <x:c r="A300" t="str">
        <x:v>10450299</x:v>
      </x:c>
      <x:c r="B300" t="str">
        <x:v>40870299</x:v>
      </x:c>
      <x:c r="C300" t="str">
        <x:v>2022-08-10</x:v>
      </x:c>
      <x:c r="D300" t="str">
        <x:v>2022-08-10</x:v>
      </x:c>
      <x:c r="E300" t="str">
        <x:v>2022-08-11</x:v>
      </x:c>
      <x:c r="F300" t="str">
        <x:v>U400-DEETHANIZER-500</x:v>
      </x:c>
      <x:c r="G300" t="str">
        <x:v>PV-501</x:v>
      </x:c>
      <x:c r="H300" t="str">
        <x:v>column pressure control valve</x:v>
      </x:c>
      <x:c r="I300" t="str">
        <x:v>control_valve</x:v>
      </x:c>
      <x:c r="J300" t="str">
        <x:v>P3</x:v>
      </x:c>
      <x:c r="K300" t="str">
        <x:v>COMP</x:v>
      </x:c>
      <x:c r="L300" t="str">
        <x:v>E&amp;I</x:v>
      </x:c>
      <x:c r="M300" t="str">
        <x:v>pressure_control_fault</x:v>
      </x:c>
      <x:c r="N300" t="str">
        <x:v>hunting loop</x:v>
      </x:c>
      <x:c r="O300" t="str">
        <x:v>CTRL_OSC</x:v>
      </x:c>
      <x:c r="P300" t="str">
        <x:v>TUNE</x:v>
      </x:c>
      <x:c r="Q300" t="str">
        <x:v>N</x:v>
      </x:c>
      <x:c r="R300" t="str">
        <x:v>14.9</x:v>
      </x:c>
      <x:c r="S300" t="str">
        <x:v>4605.44</x:v>
      </x:c>
      <x:c r="T300" t="str">
        <x:v>PV-501 pic unstable, hunting loop</x:v>
      </x:c>
      <x:c r="U300" t="str">
        <x:v>night called for PV-501 column pressure ctrl valve, pic unstable seen during pressure ctrl fault. Foud hunting loop; bad response after upset. flushed impulse/sample line. temp repair only, plan shutdown job. notif made by ops, maint attended same shift.</x:v>
      </x:c>
    </x:row>
    <x:row r="301" ht="15" hidden="0" customHeight="1">
      <x:c r="A301" t="str">
        <x:v>10450300</x:v>
      </x:c>
      <x:c r="B301" t="str">
        <x:v>40870300</x:v>
      </x:c>
      <x:c r="C301" t="str">
        <x:v>2022-08-15</x:v>
      </x:c>
      <x:c r="D301" t="str">
        <x:v>2022-08-15</x:v>
      </x:c>
      <x:c r="E301" t="str">
        <x:v>2022-08-17</x:v>
      </x:c>
      <x:c r="F301" t="str">
        <x:v>U400-DEETHANIZER-500</x:v>
      </x:c>
      <x:c r="G301" t="str">
        <x:v>P-501B</x:v>
      </x:c>
      <x:c r="H301" t="str">
        <x:v>reflux pump B</x:v>
      </x:c>
      <x:c r="I301" t="str">
        <x:v>pump</x:v>
      </x:c>
      <x:c r="J301" t="str">
        <x:v>P3</x:v>
      </x:c>
      <x:c r="K301" t="str">
        <x:v>TECO</x:v>
      </x:c>
      <x:c r="L301" t="str">
        <x:v>E&amp;I</x:v>
      </x:c>
      <x:c r="M301" t="str">
        <x:v>reflux_pump_degradation</x:v>
      </x:c>
      <x:c r="N301" t="str">
        <x:v>bearing hot</x:v>
      </x:c>
      <x:c r="O301" t="str">
        <x:v>BRG</x:v>
      </x:c>
      <x:c r="P301" t="str">
        <x:v>WEAR</x:v>
      </x:c>
      <x:c r="Q301" t="str">
        <x:v>N</x:v>
      </x:c>
      <x:c r="R301" t="str">
        <x:v>15.9</x:v>
      </x:c>
      <x:c r="S301" t="str">
        <x:v>1940.71</x:v>
      </x:c>
      <x:c r="T301" t="str">
        <x:v>chk P-501B - bearing hot frm ops</x:v>
      </x:c>
      <x:c r="U301" t="str">
        <x:v>days called for P-501B reflux pump B, seal weep seen during reflux pump degradation. Foud bearing hot; brg rough, lube dark. tightened fittings, leak test ok. no leak at handover. notif made by ops, maint attended same shift.</x:v>
      </x:c>
    </x:row>
    <x:row r="302" ht="15" hidden="0" customHeight="1">
      <x:c r="A302" t="str">
        <x:v>10450301</x:v>
      </x:c>
      <x:c r="B302" t="str">
        <x:v>40870301</x:v>
      </x:c>
      <x:c r="C302" t="str">
        <x:v>2022-08-17</x:v>
      </x:c>
      <x:c r="D302" t="str">
        <x:v>2022-08-17</x:v>
      </x:c>
      <x:c r="E302" t="str">
        <x:v>2022-08-18</x:v>
      </x:c>
      <x:c r="F302" t="str">
        <x:v>U400-DEETHANIZER-500</x:v>
      </x:c>
      <x:c r="G302" t="str">
        <x:v>XV-501</x:v>
      </x:c>
      <x:c r="H302" t="str">
        <x:v>feed shutdown valve</x:v>
      </x:c>
      <x:c r="I302" t="str">
        <x:v>shutdown_valve</x:v>
      </x:c>
      <x:c r="J302" t="str">
        <x:v>P3</x:v>
      </x:c>
      <x:c r="K302" t="str">
        <x:v>COMP</x:v>
      </x:c>
      <x:c r="L302" t="str">
        <x:v>OPS+INST</x:v>
      </x:c>
      <x:c r="M302" t="str">
        <x:v>feed_composition_shift</x:v>
      </x:c>
      <x:c r="N302" t="str">
        <x:v>partial stroke fail</x:v>
      </x:c>
      <x:c r="O302" t="str">
        <x:v>PST_FAIL</x:v>
      </x:c>
      <x:c r="P302" t="str">
        <x:v>ACT</x:v>
      </x:c>
      <x:c r="Q302" t="str">
        <x:v>N</x:v>
      </x:c>
      <x:c r="R302" t="str">
        <x:v>14.0</x:v>
      </x:c>
      <x:c r="S302" t="str">
        <x:v>4897.45</x:v>
      </x:c>
      <x:c r="T302" t="str">
        <x:v>XV-501 partial stroke fail after upset</x:v>
      </x:c>
      <x:c r="U302" t="str">
        <x:v>B shift called for XV-501 feed shutdown valve, quality bad seen during feed composition shift. Foud partial stroke fail; slow close/open. History shows same complain last mnth. cleaned and put back online. readng close to dcs after job. notif made by ops, maint attended same shift.</x:v>
      </x:c>
    </x:row>
    <x:row r="303" ht="15" hidden="0" customHeight="1">
      <x:c r="A303" t="str">
        <x:v>10450302</x:v>
      </x:c>
      <x:c r="B303" t="str">
        <x:v>40870302</x:v>
      </x:c>
      <x:c r="C303" t="str">
        <x:v>2022-08-16</x:v>
      </x:c>
      <x:c r="D303" t="str">
        <x:v>2022-08-18</x:v>
      </x:c>
      <x:c r="E303" t="str">
        <x:v>2022-08-23</x:v>
      </x:c>
      <x:c r="F303" t="str">
        <x:v>U400-DEETHANIZER-500</x:v>
      </x:c>
      <x:c r="G303" t="str">
        <x:v>T-501</x:v>
      </x:c>
      <x:c r="H303" t="str">
        <x:v>deethanizer column</x:v>
      </x:c>
      <x:c r="I303" t="str">
        <x:v>column</x:v>
      </x:c>
      <x:c r="J303" t="str">
        <x:v>P3</x:v>
      </x:c>
      <x:c r="K303" t="str">
        <x:v>TECO</x:v>
      </x:c>
      <x:c r="L303" t="str">
        <x:v>OPS+MECH</x:v>
      </x:c>
      <x:c r="M303" t="str">
        <x:v>feed_flow_step</x:v>
      </x:c>
      <x:c r="N303" t="str">
        <x:v>level unstable</x:v>
      </x:c>
      <x:c r="O303" t="str">
        <x:v>LVL_SWING</x:v>
      </x:c>
      <x:c r="P303" t="str">
        <x:v>CTRL</x:v>
      </x:c>
      <x:c r="Q303" t="str">
        <x:v>N</x:v>
      </x:c>
      <x:c r="R303" t="str">
        <x:v>11.0</x:v>
      </x:c>
      <x:c r="S303" t="str">
        <x:v>5582.31</x:v>
      </x:c>
      <x:c r="T303" t="str">
        <x:v>T-501 not ok after feed flow step</x:v>
      </x:c>
      <x:c r="U303" t="str">
        <x:v>night called for T-501 deethanizer column, feed jump seen during feed flow step. Foud level unstable; sump level swing. Could not get permit first time waiting area gas test. flushed impulse/sample line. temp repair only, plan shutdown job. notif made by ops, maint attended same shift.</x:v>
      </x:c>
    </x:row>
    <x:row r="304" ht="15" hidden="0" customHeight="1">
      <x:c r="A304" t="str">
        <x:v>10450303</x:v>
      </x:c>
      <x:c r="B304" t="str">
        <x:v>40870303</x:v>
      </x:c>
      <x:c r="C304" t="str">
        <x:v>2022-08-20</x:v>
      </x:c>
      <x:c r="D304" t="str">
        <x:v>2022-08-20</x:v>
      </x:c>
      <x:c r="E304" t="str">
        <x:v>2022-08-22</x:v>
      </x:c>
      <x:c r="F304" t="str">
        <x:v>U400-DEETHANIZER-500</x:v>
      </x:c>
      <x:c r="G304" t="str">
        <x:v>PT-501</x:v>
      </x:c>
      <x:c r="H304" t="str">
        <x:v>column overhead pressure tx</x:v>
      </x:c>
      <x:c r="I304" t="str">
        <x:v>instrument</x:v>
      </x:c>
      <x:c r="J304" t="str">
        <x:v>P4</x:v>
      </x:c>
      <x:c r="K304" t="str">
        <x:v>TECO</x:v>
      </x:c>
      <x:c r="L304" t="str">
        <x:v>OPS+INST</x:v>
      </x:c>
      <x:c r="M304" t="str">
        <x:v>feed_temperature_ramp</x:v>
      </x:c>
      <x:c r="N304" t="str">
        <x:v>bad reading</x:v>
      </x:c>
      <x:c r="O304" t="str">
        <x:v>DRIFT</x:v>
      </x:c>
      <x:c r="P304" t="str">
        <x:v>CAL</x:v>
      </x:c>
      <x:c r="Q304" t="str">
        <x:v>N</x:v>
      </x:c>
      <x:c r="R304" t="str">
        <x:v>14.3</x:v>
      </x:c>
      <x:c r="S304" t="str">
        <x:v>811.91</x:v>
      </x:c>
      <x:c r="T304" t="str">
        <x:v>PT-501 tray temp drift, bad reading</x:v>
      </x:c>
      <x:c r="U304" t="str">
        <x:v>night called for PT-501 column overhead pressure tx, ovhd press moving seen during feed temperature ramp. Foud bad reading; needs calib. reset trip and monitored for 2 hrs. temp repair only, plan shutdown job. notif made by ops, maint attended same shift.</x:v>
      </x:c>
    </x:row>
    <x:row r="305" ht="15" hidden="0" customHeight="1">
      <x:c r="A305" t="str">
        <x:v>10450304</x:v>
      </x:c>
      <x:c r="B305" t="str">
        <x:v>40870304</x:v>
      </x:c>
      <x:c r="C305" t="str">
        <x:v>2022-08-22</x:v>
      </x:c>
      <x:c r="D305" t="str">
        <x:v>2022-08-24</x:v>
      </x:c>
      <x:c r="E305" t="str">
        <x:v>2022-08-25</x:v>
      </x:c>
      <x:c r="F305" t="str">
        <x:v>U400-DEETHANIZER-500</x:v>
      </x:c>
      <x:c r="G305" t="str">
        <x:v>TV-502</x:v>
      </x:c>
      <x:c r="H305" t="str">
        <x:v>condenser cooling valve</x:v>
      </x:c>
      <x:c r="I305" t="str">
        <x:v>control_valve</x:v>
      </x:c>
      <x:c r="J305" t="str">
        <x:v>P3</x:v>
      </x:c>
      <x:c r="K305" t="str">
        <x:v>COMP</x:v>
      </x:c>
      <x:c r="L305" t="str">
        <x:v>OPS+INST</x:v>
      </x:c>
      <x:c r="M305" t="str">
        <x:v>valve_stiction</x:v>
      </x:c>
      <x:c r="N305" t="str">
        <x:v>hunting loop</x:v>
      </x:c>
      <x:c r="O305" t="str">
        <x:v>CTRL_OSC</x:v>
      </x:c>
      <x:c r="P305" t="str">
        <x:v>TUNE</x:v>
      </x:c>
      <x:c r="Q305" t="str">
        <x:v>N</x:v>
      </x:c>
      <x:c r="R305" t="str">
        <x:v>4.4</x:v>
      </x:c>
      <x:c r="S305" t="str">
        <x:v>3935.01</x:v>
      </x:c>
      <x:c r="T305" t="str">
        <x:v>chk TV-502 - hunting loop frm ops</x:v>
      </x:c>
      <x:c r="U305" t="str">
        <x:v>A shift called for TV-502 condnsr cooling valve, valve sticking seen during valve stiction. Foud hunting loop; bad response after upset. Tag plate dirty, confirmd by line up with panel. flushed impulse/sample line. need watch next feed swing. notif made by ops, maint attended same shift.</x:v>
      </x:c>
    </x:row>
    <x:row r="306" ht="15" hidden="0" customHeight="1">
      <x:c r="A306" t="str">
        <x:v>10450305</x:v>
      </x:c>
      <x:c r="B306" t="str">
        <x:v>40870305</x:v>
      </x:c>
      <x:c r="C306" t="str">
        <x:v>2022-08-21</x:v>
      </x:c>
      <x:c r="D306" t="str">
        <x:v>2022-08-23</x:v>
      </x:c>
      <x:c r="E306" t="str">
        <x:v>2022-08-24</x:v>
      </x:c>
      <x:c r="F306" t="str">
        <x:v>U400-DEETHANIZER-500</x:v>
      </x:c>
      <x:c r="G306" t="str">
        <x:v>TV-501</x:v>
      </x:c>
      <x:c r="H306" t="str">
        <x:v>reboiler hot medium valve</x:v>
      </x:c>
      <x:c r="I306" t="str">
        <x:v>control_valve</x:v>
      </x:c>
      <x:c r="J306" t="str">
        <x:v>P2</x:v>
      </x:c>
      <x:c r="K306" t="str">
        <x:v>TECO</x:v>
      </x:c>
      <x:c r="L306" t="str">
        <x:v>INST</x:v>
      </x:c>
      <x:c r="M306" t="str">
        <x:v>feed_composition_shift</x:v>
      </x:c>
      <x:c r="N306" t="str">
        <x:v>stiction</x:v>
      </x:c>
      <x:c r="O306" t="str">
        <x:v>STICK</x:v>
      </x:c>
      <x:c r="P306" t="str">
        <x:v>PACKING</x:v>
      </x:c>
      <x:c r="Q306" t="str">
        <x:v>N</x:v>
      </x:c>
      <x:c r="R306" t="str">
        <x:v>10.6</x:v>
      </x:c>
      <x:c r="S306" t="str">
        <x:v>5448.41</x:v>
      </x:c>
      <x:c r="T306" t="str">
        <x:v>TV-501 stiction chk &amp; revert</x:v>
      </x:c>
      <x:c r="U306" t="str">
        <x:v>A shift called for TV-501 reboiler hot medium valve, quality bad seen during feed composition shift. Foud stiction; stem sticky and pos err. opened strainer, cleaned black sludge. need watch next feed swing. notif made by ops, maint attended same shift.</x:v>
      </x:c>
    </x:row>
    <x:row r="307" ht="15" hidden="0" customHeight="1">
      <x:c r="A307" t="str">
        <x:v>10450306</x:v>
      </x:c>
      <x:c r="B307" t="str">
        <x:v>40870306</x:v>
      </x:c>
      <x:c r="C307" t="str">
        <x:v>2022-08-23</x:v>
      </x:c>
      <x:c r="D307" t="str">
        <x:v>2022-08-24</x:v>
      </x:c>
      <x:c r="E307" t="str">
        <x:v>2022-08-26</x:v>
      </x:c>
      <x:c r="F307" t="str">
        <x:v>U400-DEETHANIZER-500</x:v>
      </x:c>
      <x:c r="G307" t="str">
        <x:v>E-501</x:v>
      </x:c>
      <x:c r="H307" t="str">
        <x:v>deethanizer reboiler</x:v>
      </x:c>
      <x:c r="I307" t="str">
        <x:v>reboiler</x:v>
      </x:c>
      <x:c r="J307" t="str">
        <x:v>P3</x:v>
      </x:c>
      <x:c r="K307" t="str">
        <x:v>TECO</x:v>
      </x:c>
      <x:c r="L307" t="str">
        <x:v>OPS+INST</x:v>
      </x:c>
      <x:c r="M307" t="str">
        <x:v>reboiler_duty_loss</x:v>
      </x:c>
      <x:c r="N307" t="str">
        <x:v>circ poor</x:v>
      </x:c>
      <x:c r="O307" t="str">
        <x:v>NO_FLOW</x:v>
      </x:c>
      <x:c r="P307" t="str">
        <x:v>PLUG</x:v>
      </x:c>
      <x:c r="Q307" t="str">
        <x:v>N</x:v>
      </x:c>
      <x:c r="R307" t="str">
        <x:v>5.6</x:v>
      </x:c>
      <x:c r="S307" t="str">
        <x:v>6924.5</x:v>
      </x:c>
      <x:c r="T307" t="str">
        <x:v>E-501 circ poor again, prod upset</x:v>
      </x:c>
      <x:c r="U307" t="str">
        <x:v>days called for E-501 deethanizer reboiler, rb circ cold seen during reboiler duty loss. Foud circ poor; blocked inlet screen. Line was hot so job done slow and with ops standing by. calibrated, loop checked with CCR. unit stable now. notif made by ops, maint attended same shift.</x:v>
      </x:c>
    </x:row>
    <x:row r="308" ht="15" hidden="0" customHeight="1">
      <x:c r="A308" t="str">
        <x:v>10450307</x:v>
      </x:c>
      <x:c r="B308" t="str">
        <x:v>40870307</x:v>
      </x:c>
      <x:c r="C308" t="str">
        <x:v>2022-08-23</x:v>
      </x:c>
      <x:c r="D308" t="str">
        <x:v>2022-08-24</x:v>
      </x:c>
      <x:c r="E308" t="str">
        <x:v>2022-08-25</x:v>
      </x:c>
      <x:c r="F308" t="str">
        <x:v>U400-DEETHANIZER-500</x:v>
      </x:c>
      <x:c r="G308" t="str">
        <x:v>P-501B</x:v>
      </x:c>
      <x:c r="H308" t="str">
        <x:v>reflux pump B</x:v>
      </x:c>
      <x:c r="I308" t="str">
        <x:v>pump</x:v>
      </x:c>
      <x:c r="J308" t="str">
        <x:v>P3</x:v>
      </x:c>
      <x:c r="K308" t="str">
        <x:v>COMP</x:v>
      </x:c>
      <x:c r="L308" t="str">
        <x:v>OPS+MECH</x:v>
      </x:c>
      <x:c r="M308" t="str">
        <x:v>reflux_pump_degradation</x:v>
      </x:c>
      <x:c r="N308" t="str">
        <x:v>motor trip</x:v>
      </x:c>
      <x:c r="O308" t="str">
        <x:v>MOTOR</x:v>
      </x:c>
      <x:c r="P308" t="str">
        <x:v>ELEC</x:v>
      </x:c>
      <x:c r="Q308" t="str">
        <x:v>N</x:v>
      </x:c>
      <x:c r="R308" t="str">
        <x:v>15.0</x:v>
      </x:c>
      <x:c r="S308" t="str">
        <x:v>15970.95</x:v>
      </x:c>
      <x:c r="T308" t="str">
        <x:v>P-501B motor trip noisy</x:v>
      </x:c>
      <x:c r="U308" t="str">
        <x:v>A shift called for P-501B reflux pump B, disch press low seen during reflux pump degradation. Foud motor trip; overload trip after upset. changed gasket and boxed up. need watch next feed swing. notif made by ops, maint attended same shift.</x:v>
      </x:c>
    </x:row>
    <x:row r="309" ht="15" hidden="0" customHeight="1">
      <x:c r="A309" t="str">
        <x:v>10450308</x:v>
      </x:c>
      <x:c r="B309" t="str">
        <x:v>40870308</x:v>
      </x:c>
      <x:c r="C309" t="str">
        <x:v>2022-08-27</x:v>
      </x:c>
      <x:c r="D309" t="str">
        <x:v>2022-08-27</x:v>
      </x:c>
      <x:c r="E309" t="str">
        <x:v>2022-08-30</x:v>
      </x:c>
      <x:c r="F309" t="str">
        <x:v>U400-DEETHANIZER-500</x:v>
      </x:c>
      <x:c r="G309" t="str">
        <x:v>E-501</x:v>
      </x:c>
      <x:c r="H309" t="str">
        <x:v>deethanizer reboiler</x:v>
      </x:c>
      <x:c r="I309" t="str">
        <x:v>reboiler</x:v>
      </x:c>
      <x:c r="J309" t="str">
        <x:v>P2</x:v>
      </x:c>
      <x:c r="K309" t="str">
        <x:v>COMP</x:v>
      </x:c>
      <x:c r="L309" t="str">
        <x:v>INST</x:v>
      </x:c>
      <x:c r="M309" t="str">
        <x:v>valve_stiction</x:v>
      </x:c>
      <x:c r="N309" t="str">
        <x:v>circ poor</x:v>
      </x:c>
      <x:c r="O309" t="str">
        <x:v>NO_FLOW</x:v>
      </x:c>
      <x:c r="P309" t="str">
        <x:v>PLUG</x:v>
      </x:c>
      <x:c r="Q309" t="str">
        <x:v>N</x:v>
      </x:c>
      <x:c r="R309" t="str">
        <x:v>8.5</x:v>
      </x:c>
      <x:c r="S309" t="str">
        <x:v>16277.85</x:v>
      </x:c>
      <x:c r="T309" t="str">
        <x:v>E-501 circ poor temp fix</x:v>
      </x:c>
      <x:c r="U309" t="str">
        <x:v>B shift called for E-501 deethanizer reboiler, valve sticking seen during valve stiction. Foud circ poor; blocked inlet screen. reset trip and monitored for 2 hrs. no leak at handover. notif made by ops, maint attended same shift.</x:v>
      </x:c>
    </x:row>
    <x:row r="310" ht="15" hidden="0" customHeight="1">
      <x:c r="A310" t="str">
        <x:v>10450309</x:v>
      </x:c>
      <x:c r="B310" t="str">
        <x:v>40870309</x:v>
      </x:c>
      <x:c r="C310" t="str">
        <x:v>2022-08-28</x:v>
      </x:c>
      <x:c r="D310" t="str">
        <x:v>2022-08-29</x:v>
      </x:c>
      <x:c r="E310" t="str">
        <x:v>2022-08-30</x:v>
      </x:c>
      <x:c r="F310" t="str">
        <x:v>U400-DEETHANIZER-500</x:v>
      </x:c>
      <x:c r="G310" t="str">
        <x:v>PV-501</x:v>
      </x:c>
      <x:c r="H310" t="str">
        <x:v>column pressure control valve</x:v>
      </x:c>
      <x:c r="I310" t="str">
        <x:v>control_valve</x:v>
      </x:c>
      <x:c r="J310" t="str">
        <x:v>P2</x:v>
      </x:c>
      <x:c r="K310" t="str">
        <x:v>COMP</x:v>
      </x:c>
      <x:c r="L310" t="str">
        <x:v>OPS+MECH</x:v>
      </x:c>
      <x:c r="M310" t="str">
        <x:v>condenser_fouling</x:v>
      </x:c>
      <x:c r="N310" t="str">
        <x:v>not stroking</x:v>
      </x:c>
      <x:c r="O310" t="str">
        <x:v>NO_TRAVEL</x:v>
      </x:c>
      <x:c r="P310" t="str">
        <x:v>ACT</x:v>
      </x:c>
      <x:c r="Q310" t="str">
        <x:v>N</x:v>
      </x:c>
      <x:c r="R310" t="str">
        <x:v>17.2</x:v>
      </x:c>
      <x:c r="S310" t="str">
        <x:v>5759.42</x:v>
      </x:c>
      <x:c r="T310" t="str">
        <x:v>PV-501 not stroking again, prod upset</x:v>
      </x:c>
      <x:c r="U310" t="str">
        <x:v>days called for PV-501 column pressure control valve, high ovhd press seen during condenser fouling. Foud not stroking; actuator weak. changed gasket and boxed up. temp repair only, plan shutdown job. notif made by ops, maint attended same shift.</x:v>
      </x:c>
    </x:row>
    <x:row r="311" ht="15" hidden="0" customHeight="1">
      <x:c r="A311" t="str">
        <x:v>10450310</x:v>
      </x:c>
      <x:c r="B311" t="str">
        <x:v>40870310</x:v>
      </x:c>
      <x:c r="C311" t="str">
        <x:v>2022-08-27</x:v>
      </x:c>
      <x:c r="D311" t="str">
        <x:v>2022-08-27</x:v>
      </x:c>
      <x:c r="E311" t="str">
        <x:v>2022-08-28</x:v>
      </x:c>
      <x:c r="F311" t="str">
        <x:v>U400-DEETHANIZER-500</x:v>
      </x:c>
      <x:c r="G311" t="str">
        <x:v>FV-501</x:v>
      </x:c>
      <x:c r="H311" t="str">
        <x:v>feed flow control valve</x:v>
      </x:c>
      <x:c r="I311" t="str">
        <x:v>control_valve</x:v>
      </x:c>
      <x:c r="J311" t="str">
        <x:v>P4</x:v>
      </x:c>
      <x:c r="K311" t="str">
        <x:v>CLSD</x:v>
      </x:c>
      <x:c r="L311" t="str">
        <x:v>INST</x:v>
      </x:c>
      <x:c r="M311" t="str">
        <x:v>valve_stiction</x:v>
      </x:c>
      <x:c r="N311" t="str">
        <x:v>air leak</x:v>
      </x:c>
      <x:c r="O311" t="str">
        <x:v>AIR_LEAK</x:v>
      </x:c>
      <x:c r="P311" t="str">
        <x:v>TUBING</x:v>
      </x:c>
      <x:c r="Q311" t="str">
        <x:v>N</x:v>
      </x:c>
      <x:c r="R311" t="str">
        <x:v>8.3</x:v>
      </x:c>
      <x:c r="S311" t="str">
        <x:v>1899.23</x:v>
      </x:c>
      <x:c r="T311" t="str">
        <x:v>FV-501 air leak, air leak</x:v>
      </x:c>
      <x:c r="U311" t="str">
        <x:v>night called for FV-501 feed flow ctrl valve, position bad seen during valve stiction. Foud air leak; positioner supply drop. Could not get permit first time waiting area gas test. swapped to standby and repaired. temp repair only, plan shutdown job. notif made by ops, maint attended same shift.</x:v>
      </x:c>
    </x:row>
    <x:row r="312" ht="15" hidden="0" customHeight="1">
      <x:c r="A312" t="str">
        <x:v>10450311</x:v>
      </x:c>
      <x:c r="B312" t="str">
        <x:v>40870311</x:v>
      </x:c>
      <x:c r="C312" t="str">
        <x:v>2022-08-29</x:v>
      </x:c>
      <x:c r="D312" t="str">
        <x:v>2022-08-31</x:v>
      </x:c>
      <x:c r="E312" t="str">
        <x:v>2022-08-31</x:v>
      </x:c>
      <x:c r="F312" t="str">
        <x:v>U400-DEETHANIZER-500</x:v>
      </x:c>
      <x:c r="G312" t="str">
        <x:v>TV-502</x:v>
      </x:c>
      <x:c r="H312" t="str">
        <x:v>condenser cooling valve</x:v>
      </x:c>
      <x:c r="I312" t="str">
        <x:v>control_valve</x:v>
      </x:c>
      <x:c r="J312" t="str">
        <x:v>P3</x:v>
      </x:c>
      <x:c r="K312" t="str">
        <x:v>TECO</x:v>
      </x:c>
      <x:c r="L312" t="str">
        <x:v>ROT</x:v>
      </x:c>
      <x:c r="M312" t="str">
        <x:v>condenser_fouling</x:v>
      </x:c>
      <x:c r="N312" t="str">
        <x:v>stiction</x:v>
      </x:c>
      <x:c r="O312" t="str">
        <x:v>STICK</x:v>
      </x:c>
      <x:c r="P312" t="str">
        <x:v>PACKING</x:v>
      </x:c>
      <x:c r="Q312" t="str">
        <x:v>N</x:v>
      </x:c>
      <x:c r="R312" t="str">
        <x:v>3.3</x:v>
      </x:c>
      <x:c r="S312" t="str">
        <x:v>4216.36</x:v>
      </x:c>
      <x:c r="T312" t="str">
        <x:v>TV-502 stiction asap</x:v>
      </x:c>
      <x:c r="U312" t="str">
        <x:v>days called for TV-502 condenser cooling valve, high ovhd press seen during condenser fouling. Foud stiction; stem sticky and pos err. swapped to standby and repaired. unit stable now. notif made by ops, maint attended same shift.</x:v>
      </x:c>
    </x:row>
    <x:row r="313" ht="15" hidden="0" customHeight="1">
      <x:c r="A313" t="str">
        <x:v>10450312</x:v>
      </x:c>
      <x:c r="B313" t="str">
        <x:v>40870312</x:v>
      </x:c>
      <x:c r="C313" t="str">
        <x:v>2022-08-30</x:v>
      </x:c>
      <x:c r="D313" t="str">
        <x:v>2022-08-31</x:v>
      </x:c>
      <x:c r="E313" t="str">
        <x:v>2022-09-01</x:v>
      </x:c>
      <x:c r="F313" t="str">
        <x:v>U400-DEETHANIZER-500</x:v>
      </x:c>
      <x:c r="G313" t="str">
        <x:v>E-503</x:v>
      </x:c>
      <x:c r="H313" t="str">
        <x:v>feed bottoms exchanger</x:v>
      </x:c>
      <x:c r="I313" t="str">
        <x:v>exchanger</x:v>
      </x:c>
      <x:c r="J313" t="str">
        <x:v>P2</x:v>
      </x:c>
      <x:c r="K313" t="str">
        <x:v>COMP</x:v>
      </x:c>
      <x:c r="L313" t="str">
        <x:v>OPS+MECH</x:v>
      </x:c>
      <x:c r="M313" t="str">
        <x:v>reboiler_duty_loss</x:v>
      </x:c>
      <x:c r="N313" t="str">
        <x:v>tube fouling</x:v>
      </x:c>
      <x:c r="O313" t="str">
        <x:v>FOULING</x:v>
      </x:c>
      <x:c r="P313" t="str">
        <x:v>PROCESS</x:v>
      </x:c>
      <x:c r="Q313" t="str">
        <x:v>N</x:v>
      </x:c>
      <x:c r="R313" t="str">
        <x:v>12.9</x:v>
      </x:c>
      <x:c r="S313" t="str">
        <x:v>1573.79</x:v>
      </x:c>
      <x:c r="T313" t="str">
        <x:v>E-503 tube fouling again, prod upset</x:v>
      </x:c>
      <x:c r="U313" t="str">
        <x:v>C shift called for E-503 feed bottoms exchanger, rb circ cold seen during reboiler duty loss. Foud tube fouling; duty low, delta t poor. replaced positioner tubing and retuned small. temp repair only, plan shutdown job. notif made by ops, maint attended same shift.</x:v>
      </x:c>
    </x:row>
    <x:row r="314" ht="15" hidden="0" customHeight="1">
      <x:c r="A314" t="str">
        <x:v>10450313</x:v>
      </x:c>
      <x:c r="B314" t="str">
        <x:v>40870313</x:v>
      </x:c>
      <x:c r="C314" t="str">
        <x:v>2022-08-30</x:v>
      </x:c>
      <x:c r="D314" t="str">
        <x:v>2022-08-31</x:v>
      </x:c>
      <x:c r="E314" t="str">
        <x:v>2022-09-05</x:v>
      </x:c>
      <x:c r="F314" t="str">
        <x:v>U400-DEETHANIZER-500</x:v>
      </x:c>
      <x:c r="G314" t="str">
        <x:v>PSV-501A</x:v>
      </x:c>
      <x:c r="H314" t="str">
        <x:v>column relief valve A</x:v>
      </x:c>
      <x:c r="I314" t="str">
        <x:v>relief</x:v>
      </x:c>
      <x:c r="J314" t="str">
        <x:v>P4</x:v>
      </x:c>
      <x:c r="K314" t="str">
        <x:v>TECO</x:v>
      </x:c>
      <x:c r="L314" t="str">
        <x:v>ANLYZR</x:v>
      </x:c>
      <x:c r="M314" t="str">
        <x:v>pressure_control_fault</x:v>
      </x:c>
      <x:c r="N314" t="str">
        <x:v>seat passing</x:v>
      </x:c>
      <x:c r="O314" t="str">
        <x:v>LEAK_BY</x:v>
      </x:c>
      <x:c r="P314" t="str">
        <x:v>SEAT</x:v>
      </x:c>
      <x:c r="Q314" t="str">
        <x:v>N</x:v>
      </x:c>
      <x:c r="R314" t="str">
        <x:v>5.5</x:v>
      </x:c>
      <x:c r="S314" t="str">
        <x:v>6010.3</x:v>
      </x:c>
      <x:c r="T314" t="str">
        <x:v>PSV-501A flare valve checked, seat passing</x:v>
      </x:c>
      <x:c r="U314" t="str">
        <x:v>A shift called for PSV-501A column relief valve A, pv not movng seen during pressure control fault. Foud seat passing; tail pipe warm. stroke tested, response better. unit stable now. notif made by ops, maint attended same shift.</x:v>
      </x:c>
    </x:row>
    <x:row r="315" ht="15" hidden="0" customHeight="1">
      <x:c r="A315" t="str">
        <x:v>10450314</x:v>
      </x:c>
      <x:c r="B315" t="str">
        <x:v>40870314</x:v>
      </x:c>
      <x:c r="C315" t="str">
        <x:v>2022-09-01</x:v>
      </x:c>
      <x:c r="D315" t="str">
        <x:v>2022-09-01</x:v>
      </x:c>
      <x:c r="E315" t="str">
        <x:v>2022-09-03</x:v>
      </x:c>
      <x:c r="F315" t="str">
        <x:v>U400-DEETHANIZER-500</x:v>
      </x:c>
      <x:c r="G315" t="str">
        <x:v>TT-503</x:v>
      </x:c>
      <x:c r="H315" t="str">
        <x:v>reboiler outlet temperature tx</x:v>
      </x:c>
      <x:c r="I315" t="str">
        <x:v>instrument</x:v>
      </x:c>
      <x:c r="J315" t="str">
        <x:v>P3</x:v>
      </x:c>
      <x:c r="K315" t="str">
        <x:v>COMP</x:v>
      </x:c>
      <x:c r="L315" t="str">
        <x:v>ANLYZR</x:v>
      </x:c>
      <x:c r="M315" t="str">
        <x:v>reboiler_duty_loss</x:v>
      </x:c>
      <x:c r="N315" t="str">
        <x:v>loose wire</x:v>
      </x:c>
      <x:c r="O315" t="str">
        <x:v>SIGNAL</x:v>
      </x:c>
      <x:c r="P315" t="str">
        <x:v>ELEC</x:v>
      </x:c>
      <x:c r="Q315" t="str">
        <x:v>N</x:v>
      </x:c>
      <x:c r="R315" t="str">
        <x:v>5.8</x:v>
      </x:c>
      <x:c r="S315" t="str">
        <x:v>4940.0</x:v>
      </x:c>
      <x:c r="T315" t="str">
        <x:v>TT-503 rb circ cold, loose wire</x:v>
      </x:c>
      <x:c r="U315" t="str">
        <x:v>night called for TT-503 rebiler outlet temp tx, rb circ cold seen during rebiler duty loss. Foud loose wire; term loose. Line was hot so job done slow and with ops standing by. swapped to standby and repaired. unit stable now. notif made by ops, maint attended same shift.</x:v>
      </x:c>
    </x:row>
    <x:row r="316" ht="15" hidden="0" customHeight="1">
      <x:c r="A316" t="str">
        <x:v>10450315</x:v>
      </x:c>
      <x:c r="B316" t="str">
        <x:v>40870315</x:v>
      </x:c>
      <x:c r="C316" t="str">
        <x:v>2022-09-03</x:v>
      </x:c>
      <x:c r="D316" t="str">
        <x:v>2022-09-04</x:v>
      </x:c>
      <x:c r="E316" t="str">
        <x:v>2022-09-06</x:v>
      </x:c>
      <x:c r="F316" t="str">
        <x:v>U400-DEETHANIZER-500</x:v>
      </x:c>
      <x:c r="G316" t="str">
        <x:v>E-502</x:v>
      </x:c>
      <x:c r="H316" t="str">
        <x:v>deethanizer overhead condenser</x:v>
      </x:c>
      <x:c r="I316" t="str">
        <x:v>condenser</x:v>
      </x:c>
      <x:c r="J316" t="str">
        <x:v>P4</x:v>
      </x:c>
      <x:c r="K316" t="str">
        <x:v>COMP</x:v>
      </x:c>
      <x:c r="L316" t="str">
        <x:v>MECH</x:v>
      </x:c>
      <x:c r="M316" t="str">
        <x:v>reboiler_duty_loss</x:v>
      </x:c>
      <x:c r="N316" t="str">
        <x:v>tube leak sus</x:v>
      </x:c>
      <x:c r="O316" t="str">
        <x:v>LEAK</x:v>
      </x:c>
      <x:c r="P316" t="str">
        <x:v>TUBE</x:v>
      </x:c>
      <x:c r="Q316" t="str">
        <x:v>N</x:v>
      </x:c>
      <x:c r="R316" t="str">
        <x:v>9.3</x:v>
      </x:c>
      <x:c r="S316" t="str">
        <x:v>5287.2</x:v>
      </x:c>
      <x:c r="T316" t="str">
        <x:v>E-502 tube leak sus chk &amp; revert</x:v>
      </x:c>
      <x:c r="U316" t="str">
        <x:v>night called for E-502 deethanizer overhead condenser, tray temp low seen during reboiler duty loss. Foud tube leak sus; hydrotest reqd. tightened fittings, leak test ok. need watch next feed swing. notif made by ops, maint attended same shift.</x:v>
      </x:c>
    </x:row>
    <x:row r="317" ht="15" hidden="0" customHeight="1">
      <x:c r="A317" t="str">
        <x:v>10450316</x:v>
      </x:c>
      <x:c r="B317" t="str">
        <x:v>40870316</x:v>
      </x:c>
      <x:c r="C317" t="str">
        <x:v>2022-09-06</x:v>
      </x:c>
      <x:c r="D317" t="str">
        <x:v>2022-09-07</x:v>
      </x:c>
      <x:c r="E317" t="str">
        <x:v>2022-09-08</x:v>
      </x:c>
      <x:c r="F317" t="str">
        <x:v>U400-DEETHANIZER-500</x:v>
      </x:c>
      <x:c r="G317" t="str">
        <x:v>PV-501</x:v>
      </x:c>
      <x:c r="H317" t="str">
        <x:v>column pressure control valve</x:v>
      </x:c>
      <x:c r="I317" t="str">
        <x:v>control_valve</x:v>
      </x:c>
      <x:c r="J317" t="str">
        <x:v>P3</x:v>
      </x:c>
      <x:c r="K317" t="str">
        <x:v>COMP</x:v>
      </x:c>
      <x:c r="L317" t="str">
        <x:v>MECH</x:v>
      </x:c>
      <x:c r="M317" t="str">
        <x:v>reboiler_duty_loss</x:v>
      </x:c>
      <x:c r="N317" t="str">
        <x:v>air leak</x:v>
      </x:c>
      <x:c r="O317" t="str">
        <x:v>AIR_LEAK</x:v>
      </x:c>
      <x:c r="P317" t="str">
        <x:v>TUBING</x:v>
      </x:c>
      <x:c r="Q317" t="str">
        <x:v>N</x:v>
      </x:c>
      <x:c r="R317" t="str">
        <x:v>8.3</x:v>
      </x:c>
      <x:c r="S317" t="str">
        <x:v>876.05</x:v>
      </x:c>
      <x:c r="T317" t="str">
        <x:v>chk PV-501 - air leak frm ops</x:v>
      </x:c>
      <x:c r="U317" t="str">
        <x:v>days called for PV-501 colmn pressure control valve, steam/hm valve no resp seen during reboiler duty loss. Foud air leak; positioner supply drop. reset trip and monitored for 2 hrs. unit stable now. notif made by ops, maint attended same shift.</x:v>
      </x:c>
    </x:row>
    <x:row r="318" ht="15" hidden="0" customHeight="1">
      <x:c r="A318" t="str">
        <x:v>10450317</x:v>
      </x:c>
      <x:c r="B318" t="str">
        <x:v>40870317</x:v>
      </x:c>
      <x:c r="C318" t="str">
        <x:v>2022-09-05</x:v>
      </x:c>
      <x:c r="D318" t="str">
        <x:v>2022-09-05</x:v>
      </x:c>
      <x:c r="E318" t="str">
        <x:v>2022-09-05</x:v>
      </x:c>
      <x:c r="F318" t="str">
        <x:v>U400-DEETHANIZER-500</x:v>
      </x:c>
      <x:c r="G318" t="str">
        <x:v>FV-502</x:v>
      </x:c>
      <x:c r="H318" t="str">
        <x:v>reflux flow control valve</x:v>
      </x:c>
      <x:c r="I318" t="str">
        <x:v>control_valve</x:v>
      </x:c>
      <x:c r="J318" t="str">
        <x:v>P3</x:v>
      </x:c>
      <x:c r="K318" t="str">
        <x:v>CLSD</x:v>
      </x:c>
      <x:c r="L318" t="str">
        <x:v>VALVE</x:v>
      </x:c>
      <x:c r="M318" t="str">
        <x:v>reboiler_duty_loss</x:v>
      </x:c>
      <x:c r="N318" t="str">
        <x:v>passing</x:v>
      </x:c>
      <x:c r="O318" t="str">
        <x:v>LEAK_BY</x:v>
      </x:c>
      <x:c r="P318" t="str">
        <x:v>SEAT</x:v>
      </x:c>
      <x:c r="Q318" t="str">
        <x:v>N</x:v>
      </x:c>
      <x:c r="R318" t="str">
        <x:v>8.8</x:v>
      </x:c>
      <x:c r="S318" t="str">
        <x:v>4404.68</x:v>
      </x:c>
      <x:c r="T318" t="str">
        <x:v>FV-502 rb circ cold, passing</x:v>
      </x:c>
      <x:c r="U318" t="str">
        <x:v>night called for FV-502 reflux flow ctrl valve, steam/hm valve no resp seen during reboiler duty loss. Foud passing; seat leak by. cleaned and put back online. readng close to dcs after job. notif made by ops, maint attended same shift.</x:v>
      </x:c>
    </x:row>
    <x:row r="319" ht="15" hidden="0" customHeight="1">
      <x:c r="A319" t="str">
        <x:v>10450318</x:v>
      </x:c>
      <x:c r="B319" t="str">
        <x:v>40870318</x:v>
      </x:c>
      <x:c r="C319" t="str">
        <x:v>2022-09-09</x:v>
      </x:c>
      <x:c r="D319" t="str">
        <x:v>2022-09-09</x:v>
      </x:c>
      <x:c r="E319" t="str">
        <x:v>2022-09-12</x:v>
      </x:c>
      <x:c r="F319" t="str">
        <x:v>U400-DEETHANIZER-500</x:v>
      </x:c>
      <x:c r="G319" t="str">
        <x:v>FV-501</x:v>
      </x:c>
      <x:c r="H319" t="str">
        <x:v>feed flow control valve</x:v>
      </x:c>
      <x:c r="I319" t="str">
        <x:v>control_valve</x:v>
      </x:c>
      <x:c r="J319" t="str">
        <x:v>P3</x:v>
      </x:c>
      <x:c r="K319" t="str">
        <x:v>CLSD</x:v>
      </x:c>
      <x:c r="L319" t="str">
        <x:v>INST</x:v>
      </x:c>
      <x:c r="M319" t="str">
        <x:v>reboiler_duty_loss</x:v>
      </x:c>
      <x:c r="N319" t="str">
        <x:v>stiction</x:v>
      </x:c>
      <x:c r="O319" t="str">
        <x:v>STICK</x:v>
      </x:c>
      <x:c r="P319" t="str">
        <x:v>PACKING</x:v>
      </x:c>
      <x:c r="Q319" t="str">
        <x:v>N</x:v>
      </x:c>
      <x:c r="R319" t="str">
        <x:v>9.4</x:v>
      </x:c>
      <x:c r="S319" t="str">
        <x:v>4784.39</x:v>
      </x:c>
      <x:c r="T319" t="str">
        <x:v>FV-501 rb circ cold, stiction</x:v>
      </x:c>
      <x:c r="U319" t="str">
        <x:v>A shift called for FV-501 feed flow control valve, low heat seen during rebiler duty loss. Foud stiction; stem sticky and pos err. No spare in store at first, used refurb one from shop. cleaned and put back online. ops says ok for now. notif made by ops, maint attended same shift.</x:v>
      </x:c>
    </x:row>
    <x:row r="320" ht="15" hidden="0" customHeight="1">
      <x:c r="A320" t="str">
        <x:v>10450319</x:v>
      </x:c>
      <x:c r="B320" t="str">
        <x:v>40870319</x:v>
      </x:c>
      <x:c r="C320" t="str">
        <x:v>2022-09-11</x:v>
      </x:c>
      <x:c r="D320" t="str">
        <x:v>2022-09-12</x:v>
      </x:c>
      <x:c r="E320" t="str">
        <x:v>2022-09-13</x:v>
      </x:c>
      <x:c r="F320" t="str">
        <x:v>U400-DEETHANIZER-500</x:v>
      </x:c>
      <x:c r="G320" t="str">
        <x:v>TV-502</x:v>
      </x:c>
      <x:c r="H320" t="str">
        <x:v>condenser cooling valve</x:v>
      </x:c>
      <x:c r="I320" t="str">
        <x:v>control_valve</x:v>
      </x:c>
      <x:c r="J320" t="str">
        <x:v>P4</x:v>
      </x:c>
      <x:c r="K320" t="str">
        <x:v>TECO</x:v>
      </x:c>
      <x:c r="L320" t="str">
        <x:v>INST</x:v>
      </x:c>
      <x:c r="M320" t="str">
        <x:v>reboiler_duty_loss</x:v>
      </x:c>
      <x:c r="N320" t="str">
        <x:v>stiction</x:v>
      </x:c>
      <x:c r="O320" t="str">
        <x:v>STICK</x:v>
      </x:c>
      <x:c r="P320" t="str">
        <x:v>PACKING</x:v>
      </x:c>
      <x:c r="Q320" t="str">
        <x:v>N</x:v>
      </x:c>
      <x:c r="R320" t="str">
        <x:v>1.8</x:v>
      </x:c>
      <x:c r="S320" t="str">
        <x:v>4865.45</x:v>
      </x:c>
      <x:c r="T320" t="str">
        <x:v>TV-502 low heat, stiction</x:v>
      </x:c>
      <x:c r="U320" t="str">
        <x:v>night called for TV-502 condnsr cooling valve, tray temp low seen during reboiler duty loss. Foud stiction; stem sticky and pos err. Tag plate dirty, confirmd by line up with panel. opened strainer, cleaned black sludge. temp repair only, plan shutdown job. notif made by ops, maint attended same shift.</x:v>
      </x:c>
    </x:row>
    <x:row r="321" ht="15" hidden="0" customHeight="1">
      <x:c r="A321" t="str">
        <x:v>10450320</x:v>
      </x:c>
      <x:c r="B321" t="str">
        <x:v>40870320</x:v>
      </x:c>
      <x:c r="C321" t="str">
        <x:v>2022-09-12</x:v>
      </x:c>
      <x:c r="D321" t="str">
        <x:v>2022-09-13</x:v>
      </x:c>
      <x:c r="E321" t="str">
        <x:v>2022-09-15</x:v>
      </x:c>
      <x:c r="F321" t="str">
        <x:v>U400-DEETHANIZER-500</x:v>
      </x:c>
      <x:c r="G321" t="str">
        <x:v>P-502A</x:v>
      </x:c>
      <x:c r="H321" t="str">
        <x:v>bottoms pump A</x:v>
      </x:c>
      <x:c r="I321" t="str">
        <x:v>pump</x:v>
      </x:c>
      <x:c r="J321" t="str">
        <x:v>P2</x:v>
      </x:c>
      <x:c r="K321" t="str">
        <x:v>TECO</x:v>
      </x:c>
      <x:c r="L321" t="str">
        <x:v>ANLYZR</x:v>
      </x:c>
      <x:c r="M321" t="str">
        <x:v>pressure_control_fault</x:v>
      </x:c>
      <x:c r="N321" t="str">
        <x:v>seal leak</x:v>
      </x:c>
      <x:c r="O321" t="str">
        <x:v>MECH_SEAL</x:v>
      </x:c>
      <x:c r="P321" t="str">
        <x:v>SEAL</x:v>
      </x:c>
      <x:c r="Q321" t="str">
        <x:v>N</x:v>
      </x:c>
      <x:c r="R321" t="str">
        <x:v>11.5</x:v>
      </x:c>
      <x:c r="S321" t="str">
        <x:v>14089.42</x:v>
      </x:c>
      <x:c r="T321" t="str">
        <x:v>P-502A pic unstable, seal leak</x:v>
      </x:c>
      <x:c r="U321" t="str">
        <x:v>days called for P-502A bottoms pump A, pshh close call seen during press control fault. Foud seal leak; seal face worn / dry run signs. opened strainer, cleaned black sludge. need watch next feed swing. notif made by ops, maint attended same shift.</x:v>
      </x:c>
    </x:row>
    <x:row r="322" ht="15" hidden="0" customHeight="1">
      <x:c r="A322" t="str">
        <x:v>10450321</x:v>
      </x:c>
      <x:c r="B322" t="str">
        <x:v>40870321</x:v>
      </x:c>
      <x:c r="C322" t="str">
        <x:v>2022-09-16</x:v>
      </x:c>
      <x:c r="D322" t="str">
        <x:v>2022-09-16</x:v>
      </x:c>
      <x:c r="E322" t="str">
        <x:v>2022-09-16</x:v>
      </x:c>
      <x:c r="F322" t="str">
        <x:v>U400-DEETHANIZER-500</x:v>
      </x:c>
      <x:c r="G322" t="str">
        <x:v>PV-501</x:v>
      </x:c>
      <x:c r="H322" t="str">
        <x:v>column pressure control valve</x:v>
      </x:c>
      <x:c r="I322" t="str">
        <x:v>control_valve</x:v>
      </x:c>
      <x:c r="J322" t="str">
        <x:v>P1</x:v>
      </x:c>
      <x:c r="K322" t="str">
        <x:v>TECO</x:v>
      </x:c>
      <x:c r="L322" t="str">
        <x:v>MECH</x:v>
      </x:c>
      <x:c r="M322" t="str">
        <x:v>condenser_fouling</x:v>
      </x:c>
      <x:c r="N322" t="str">
        <x:v>passing</x:v>
      </x:c>
      <x:c r="O322" t="str">
        <x:v>LEAK_BY</x:v>
      </x:c>
      <x:c r="P322" t="str">
        <x:v>SEAT</x:v>
      </x:c>
      <x:c r="Q322" t="str">
        <x:v>Y</x:v>
      </x:c>
      <x:c r="R322" t="str">
        <x:v>23.3</x:v>
      </x:c>
      <x:c r="S322" t="str">
        <x:v>2161.54</x:v>
      </x:c>
      <x:c r="T322" t="str">
        <x:v>chk PV-501 - passing frm ops</x:v>
      </x:c>
      <x:c r="U322" t="str">
        <x:v>days called for PV-501 column press ctrl vavle, pic wide open seen during condenser fouling. Foud passing; seat leak by. replaced positioner tubing and retuned small. ops says ok for now. notif made by ops, maint attended same shift.</x:v>
      </x:c>
    </x:row>
    <x:row r="323" ht="15" hidden="0" customHeight="1">
      <x:c r="A323" t="str">
        <x:v>10450322</x:v>
      </x:c>
      <x:c r="B323" t="str">
        <x:v>40870322</x:v>
      </x:c>
      <x:c r="C323" t="str">
        <x:v>2022-09-13</x:v>
      </x:c>
      <x:c r="D323" t="str">
        <x:v>2022-09-14</x:v>
      </x:c>
      <x:c r="E323" t="str">
        <x:v>2022-09-15</x:v>
      </x:c>
      <x:c r="F323" t="str">
        <x:v>U400-DEETHANIZER-500</x:v>
      </x:c>
      <x:c r="G323" t="str">
        <x:v>TT-503</x:v>
      </x:c>
      <x:c r="H323" t="str">
        <x:v>reboiler outlet temperature tx</x:v>
      </x:c>
      <x:c r="I323" t="str">
        <x:v>instrument</x:v>
      </x:c>
      <x:c r="J323" t="str">
        <x:v>P4</x:v>
      </x:c>
      <x:c r="K323" t="str">
        <x:v>COMP</x:v>
      </x:c>
      <x:c r="L323" t="str">
        <x:v>INST</x:v>
      </x:c>
      <x:c r="M323" t="str">
        <x:v>reboiler_duty_loss</x:v>
      </x:c>
      <x:c r="N323" t="str">
        <x:v>loose wire</x:v>
      </x:c>
      <x:c r="O323" t="str">
        <x:v>SIGNAL</x:v>
      </x:c>
      <x:c r="P323" t="str">
        <x:v>ELEC</x:v>
      </x:c>
      <x:c r="Q323" t="str">
        <x:v>N</x:v>
      </x:c>
      <x:c r="R323" t="str">
        <x:v>10.5</x:v>
      </x:c>
      <x:c r="S323" t="str">
        <x:v>1938.94</x:v>
      </x:c>
      <x:c r="T323" t="str">
        <x:v>TT-503 not ok after reboiler duty loss</x:v>
      </x:c>
      <x:c r="U323" t="str">
        <x:v>A shift called for TT-503 rebiler outlet temperature tx, tray temp low seen during rebiler duty loss. Foud loose wire; term loose. History shows same complain last mnth. tightened fittings, leak test ok. temp repair only, plan shutdown job. notif made by ops, maint attended same shift.</x:v>
      </x:c>
    </x:row>
    <x:row r="324" ht="15" hidden="0" customHeight="1">
      <x:c r="A324" t="str">
        <x:v>10450323</x:v>
      </x:c>
      <x:c r="B324" t="str">
        <x:v>40870323</x:v>
      </x:c>
      <x:c r="C324" t="str">
        <x:v>2022-09-19</x:v>
      </x:c>
      <x:c r="D324" t="str">
        <x:v>2022-09-21</x:v>
      </x:c>
      <x:c r="E324" t="str">
        <x:v>2022-09-21</x:v>
      </x:c>
      <x:c r="F324" t="str">
        <x:v>U400-DEETHANIZER-500</x:v>
      </x:c>
      <x:c r="G324" t="str">
        <x:v>E-501</x:v>
      </x:c>
      <x:c r="H324" t="str">
        <x:v>deethanizer reboiler</x:v>
      </x:c>
      <x:c r="I324" t="str">
        <x:v>reboiler</x:v>
      </x:c>
      <x:c r="J324" t="str">
        <x:v>P3</x:v>
      </x:c>
      <x:c r="K324" t="str">
        <x:v>CLSD</x:v>
      </x:c>
      <x:c r="L324" t="str">
        <x:v>ROT</x:v>
      </x:c>
      <x:c r="M324" t="str">
        <x:v>feed_temperature_ramp</x:v>
      </x:c>
      <x:c r="N324" t="str">
        <x:v>low duty</x:v>
      </x:c>
      <x:c r="O324" t="str">
        <x:v>DUTY_LOSS</x:v>
      </x:c>
      <x:c r="P324" t="str">
        <x:v>UTILITY</x:v>
      </x:c>
      <x:c r="Q324" t="str">
        <x:v>N</x:v>
      </x:c>
      <x:c r="R324" t="str">
        <x:v>16.8</x:v>
      </x:c>
      <x:c r="S324" t="str">
        <x:v>11626.07</x:v>
      </x:c>
      <x:c r="T324" t="str">
        <x:v>E-501 rb duty up, low duty</x:v>
      </x:c>
      <x:c r="U324" t="str">
        <x:v>C shift called for E-501 deethanizer reboiler, spec off seen during feed temperature ramp. Foud low duty; hm vavle/strainer issue. Could not get permit first time waiting area gas test. reset trip and monitored for 2 hrs. need watch next feed swing. notif made by ops, maint attended same shift.</x:v>
      </x:c>
    </x:row>
    <x:row r="325" ht="15" hidden="0" customHeight="1">
      <x:c r="A325" t="str">
        <x:v>10450324</x:v>
      </x:c>
      <x:c r="B325" t="str">
        <x:v>40870324</x:v>
      </x:c>
      <x:c r="C325" t="str">
        <x:v>2022-09-20</x:v>
      </x:c>
      <x:c r="D325" t="str">
        <x:v>2022-09-22</x:v>
      </x:c>
      <x:c r="E325" t="str">
        <x:v>2022-09-22</x:v>
      </x:c>
      <x:c r="F325" t="str">
        <x:v>U400-DEETHANIZER-500</x:v>
      </x:c>
      <x:c r="G325" t="str">
        <x:v>P-501A</x:v>
      </x:c>
      <x:c r="H325" t="str">
        <x:v>reflux pump A</x:v>
      </x:c>
      <x:c r="I325" t="str">
        <x:v>pump</x:v>
      </x:c>
      <x:c r="J325" t="str">
        <x:v>P3</x:v>
      </x:c>
      <x:c r="K325" t="str">
        <x:v>TECO</x:v>
      </x:c>
      <x:c r="L325" t="str">
        <x:v>INST</x:v>
      </x:c>
      <x:c r="M325" t="str">
        <x:v>reflux_pump_degradation</x:v>
      </x:c>
      <x:c r="N325" t="str">
        <x:v>motor trip</x:v>
      </x:c>
      <x:c r="O325" t="str">
        <x:v>MOTOR</x:v>
      </x:c>
      <x:c r="P325" t="str">
        <x:v>ELEC</x:v>
      </x:c>
      <x:c r="Q325" t="str">
        <x:v>N</x:v>
      </x:c>
      <x:c r="R325" t="str">
        <x:v>12.7</x:v>
      </x:c>
      <x:c r="S325" t="str">
        <x:v>8812.75</x:v>
      </x:c>
      <x:c r="T325" t="str">
        <x:v>P-501A motor trip again</x:v>
      </x:c>
      <x:c r="U325" t="str">
        <x:v>A shift called for P-501A reflux pump A, low reflux seen during reflux pump degradation. Foud motor trip; overload trip after upset. Tag plate dirty, confirmd by line up with panel. flushed impulse/sample line. no leak at handover. notif made by ops, maint attended same shift.</x:v>
      </x:c>
    </x:row>
    <x:row r="326" ht="15" hidden="0" customHeight="1">
      <x:c r="A326" t="str">
        <x:v>10450325</x:v>
      </x:c>
      <x:c r="B326" t="str">
        <x:v>40870325</x:v>
      </x:c>
      <x:c r="C326" t="str">
        <x:v>2022-09-20</x:v>
      </x:c>
      <x:c r="D326" t="str">
        <x:v>2022-09-20</x:v>
      </x:c>
      <x:c r="E326" t="str">
        <x:v>2022-09-21</x:v>
      </x:c>
      <x:c r="F326" t="str">
        <x:v>U400-DEETHANIZER-500</x:v>
      </x:c>
      <x:c r="G326" t="str">
        <x:v>TV-502</x:v>
      </x:c>
      <x:c r="H326" t="str">
        <x:v>condenser cooling valve</x:v>
      </x:c>
      <x:c r="I326" t="str">
        <x:v>control_valve</x:v>
      </x:c>
      <x:c r="J326" t="str">
        <x:v>P3</x:v>
      </x:c>
      <x:c r="K326" t="str">
        <x:v>CLSD</x:v>
      </x:c>
      <x:c r="L326" t="str">
        <x:v>ROT</x:v>
      </x:c>
      <x:c r="M326" t="str">
        <x:v>feed_temperature_ramp</x:v>
      </x:c>
      <x:c r="N326" t="str">
        <x:v>hunting loop</x:v>
      </x:c>
      <x:c r="O326" t="str">
        <x:v>CTRL_OSC</x:v>
      </x:c>
      <x:c r="P326" t="str">
        <x:v>TUNE</x:v>
      </x:c>
      <x:c r="Q326" t="str">
        <x:v>N</x:v>
      </x:c>
      <x:c r="R326" t="str">
        <x:v>1.7</x:v>
      </x:c>
      <x:c r="S326" t="str">
        <x:v>334.61</x:v>
      </x:c>
      <x:c r="T326" t="str">
        <x:v>chk TV-502 - hunting loop frm ops</x:v>
      </x:c>
      <x:c r="U326" t="str">
        <x:v>night called for TV-502 condenser cooling valve, rb duty up seen during feed temp ramp. Foud hunting loop; bad response after upset. History shows same complain last mnth. opened strainer, cleaned black sludge. need watch next feed swing. notif made by ops, maint attended same shift.</x:v>
      </x:c>
    </x:row>
    <x:row r="327" ht="15" hidden="0" customHeight="1">
      <x:c r="A327" t="str">
        <x:v>10450326</x:v>
      </x:c>
      <x:c r="B327" t="str">
        <x:v>40870326</x:v>
      </x:c>
      <x:c r="C327" t="str">
        <x:v>2022-09-22</x:v>
      </x:c>
      <x:c r="D327" t="str">
        <x:v>2022-09-24</x:v>
      </x:c>
      <x:c r="E327" t="str">
        <x:v>2022-09-24</x:v>
      </x:c>
      <x:c r="F327" t="str">
        <x:v>U400-DEETHANIZER-500</x:v>
      </x:c>
      <x:c r="G327" t="str">
        <x:v>TV-502</x:v>
      </x:c>
      <x:c r="H327" t="str">
        <x:v>condenser cooling valve</x:v>
      </x:c>
      <x:c r="I327" t="str">
        <x:v>control_valve</x:v>
      </x:c>
      <x:c r="J327" t="str">
        <x:v>P3</x:v>
      </x:c>
      <x:c r="K327" t="str">
        <x:v>TECO</x:v>
      </x:c>
      <x:c r="L327" t="str">
        <x:v>ANLYZR</x:v>
      </x:c>
      <x:c r="M327" t="str">
        <x:v>reflux_pump_degradation</x:v>
      </x:c>
      <x:c r="N327" t="str">
        <x:v>air leak</x:v>
      </x:c>
      <x:c r="O327" t="str">
        <x:v>AIR_LEAK</x:v>
      </x:c>
      <x:c r="P327" t="str">
        <x:v>TUBING</x:v>
      </x:c>
      <x:c r="Q327" t="str">
        <x:v>N</x:v>
      </x:c>
      <x:c r="R327" t="str">
        <x:v>11.1</x:v>
      </x:c>
      <x:c r="S327" t="str">
        <x:v>5337.4</x:v>
      </x:c>
      <x:c r="T327" t="str">
        <x:v>TV-502 disch press low, air leak</x:v>
      </x:c>
      <x:c r="U327" t="str">
        <x:v>C shift called for TV-502 condenser cooling valve, min flow hot seen during reflux pump degradation. Foud air leak; positioner supply drop. History shows same complain last mnth. opened strainer, cleaned black sludge. still little hunting but acceptable. notif made by ops, maint attended same shift.</x:v>
      </x:c>
    </x:row>
    <x:row r="328" ht="15" hidden="0" customHeight="1">
      <x:c r="A328" t="str">
        <x:v>10450327</x:v>
      </x:c>
      <x:c r="B328" t="str">
        <x:v>40870327</x:v>
      </x:c>
      <x:c r="C328" t="str">
        <x:v>2022-09-23</x:v>
      </x:c>
      <x:c r="D328" t="str">
        <x:v>2022-09-24</x:v>
      </x:c>
      <x:c r="E328" t="str">
        <x:v>2022-09-24</x:v>
      </x:c>
      <x:c r="F328" t="str">
        <x:v>U400-DEETHANIZER-500</x:v>
      </x:c>
      <x:c r="G328" t="str">
        <x:v>T-501</x:v>
      </x:c>
      <x:c r="H328" t="str">
        <x:v>deethanizer column</x:v>
      </x:c>
      <x:c r="I328" t="str">
        <x:v>column</x:v>
      </x:c>
      <x:c r="J328" t="str">
        <x:v>P3</x:v>
      </x:c>
      <x:c r="K328" t="str">
        <x:v>TECO</x:v>
      </x:c>
      <x:c r="L328" t="str">
        <x:v>VALVE</x:v>
      </x:c>
      <x:c r="M328" t="str">
        <x:v>feed_flow_step</x:v>
      </x:c>
      <x:c r="N328" t="str">
        <x:v>tray temp bad</x:v>
      </x:c>
      <x:c r="O328" t="str">
        <x:v>TEMP_DEV</x:v>
      </x:c>
      <x:c r="P328" t="str">
        <x:v>PROCESS</x:v>
      </x:c>
      <x:c r="Q328" t="str">
        <x:v>N</x:v>
      </x:c>
      <x:c r="R328" t="str">
        <x:v>4.2</x:v>
      </x:c>
      <x:c r="S328" t="str">
        <x:v>5424.24</x:v>
      </x:c>
      <x:c r="T328" t="str">
        <x:v>T-501 feed jump, tray temp bad</x:v>
      </x:c>
      <x:c r="U328" t="str">
        <x:v>A shift called for T-501 deethanizer column, feed jump seen during feed flow step. Foud tray temp bad; profile not normal. flushed impulse/sample line. readng close to dcs after job. notif made by ops, maint attended same shift.</x:v>
      </x:c>
    </x:row>
    <x:row r="329" ht="15" hidden="0" customHeight="1">
      <x:c r="A329" t="str">
        <x:v>10450328</x:v>
      </x:c>
      <x:c r="B329" t="str">
        <x:v>40870328</x:v>
      </x:c>
      <x:c r="C329" t="str">
        <x:v>2022-09-23</x:v>
      </x:c>
      <x:c r="D329" t="str">
        <x:v>2022-09-25</x:v>
      </x:c>
      <x:c r="E329" t="str">
        <x:v>2022-09-30</x:v>
      </x:c>
      <x:c r="F329" t="str">
        <x:v>U400-DEETHANIZER-500</x:v>
      </x:c>
      <x:c r="G329" t="str">
        <x:v>PV-501</x:v>
      </x:c>
      <x:c r="H329" t="str">
        <x:v>column pressure control valve</x:v>
      </x:c>
      <x:c r="I329" t="str">
        <x:v>control_valve</x:v>
      </x:c>
      <x:c r="J329" t="str">
        <x:v>P3</x:v>
      </x:c>
      <x:c r="K329" t="str">
        <x:v>COMP</x:v>
      </x:c>
      <x:c r="L329" t="str">
        <x:v>E&amp;I</x:v>
      </x:c>
      <x:c r="M329" t="str">
        <x:v>valve_stiction</x:v>
      </x:c>
      <x:c r="N329" t="str">
        <x:v>not stroking</x:v>
      </x:c>
      <x:c r="O329" t="str">
        <x:v>NO_TRAVEL</x:v>
      </x:c>
      <x:c r="P329" t="str">
        <x:v>ACT</x:v>
      </x:c>
      <x:c r="Q329" t="str">
        <x:v>N</x:v>
      </x:c>
      <x:c r="R329" t="str">
        <x:v>1.2</x:v>
      </x:c>
      <x:c r="S329" t="str">
        <x:v>3434.96</x:v>
      </x:c>
      <x:c r="T329" t="str">
        <x:v>PV-501 not stroking temp fix</x:v>
      </x:c>
      <x:c r="U329" t="str">
        <x:v>night called for PV-501 column pressure control valve, air leak seen during valve stiction. Foud not stroking; actuator weak. swapped to standby and repaired. temp repair only, plan shutdown job. notif made by ops, maint attended same shift.</x:v>
      </x:c>
    </x:row>
    <x:row r="330" ht="15" hidden="0" customHeight="1">
      <x:c r="A330" t="str">
        <x:v>10450329</x:v>
      </x:c>
      <x:c r="B330" t="str">
        <x:v>40870329</x:v>
      </x:c>
      <x:c r="C330" t="str">
        <x:v>2022-09-27</x:v>
      </x:c>
      <x:c r="D330" t="str">
        <x:v>2022-09-27</x:v>
      </x:c>
      <x:c r="E330" t="str">
        <x:v>2022-10-02</x:v>
      </x:c>
      <x:c r="F330" t="str">
        <x:v>U400-DEETHANIZER-500</x:v>
      </x:c>
      <x:c r="G330" t="str">
        <x:v>FV-501</x:v>
      </x:c>
      <x:c r="H330" t="str">
        <x:v>feed flow control valve</x:v>
      </x:c>
      <x:c r="I330" t="str">
        <x:v>control_valve</x:v>
      </x:c>
      <x:c r="J330" t="str">
        <x:v>P3</x:v>
      </x:c>
      <x:c r="K330" t="str">
        <x:v>TECO</x:v>
      </x:c>
      <x:c r="L330" t="str">
        <x:v>MECH</x:v>
      </x:c>
      <x:c r="M330" t="str">
        <x:v>feed_flow_step</x:v>
      </x:c>
      <x:c r="N330" t="str">
        <x:v>stiction</x:v>
      </x:c>
      <x:c r="O330" t="str">
        <x:v>STICK</x:v>
      </x:c>
      <x:c r="P330" t="str">
        <x:v>PACKING</x:v>
      </x:c>
      <x:c r="Q330" t="str">
        <x:v>N</x:v>
      </x:c>
      <x:c r="R330" t="str">
        <x:v>1.9</x:v>
      </x:c>
      <x:c r="S330" t="str">
        <x:v>4139.66</x:v>
      </x:c>
      <x:c r="T330" t="str">
        <x:v>FV-501 stiction again, prod upset</x:v>
      </x:c>
      <x:c r="U330" t="str">
        <x:v>night called for FV-501 feed flow control vavle, lvl swing seen during feed flow step. Foud stiction; stem sticky and pos err. stroke tested, response better. still little hunting but acceptable. notif made by ops, maint attended same shift.</x:v>
      </x:c>
    </x:row>
    <x:row r="331" ht="15" hidden="0" customHeight="1">
      <x:c r="A331" t="str">
        <x:v>10450330</x:v>
      </x:c>
      <x:c r="B331" t="str">
        <x:v>40870330</x:v>
      </x:c>
      <x:c r="C331" t="str">
        <x:v>2022-09-24</x:v>
      </x:c>
      <x:c r="D331" t="str">
        <x:v>2022-09-26</x:v>
      </x:c>
      <x:c r="E331" t="str">
        <x:v>2022-09-29</x:v>
      </x:c>
      <x:c r="F331" t="str">
        <x:v>U400-DEETHANIZER-500</x:v>
      </x:c>
      <x:c r="G331" t="str">
        <x:v>TT-501B</x:v>
      </x:c>
      <x:c r="H331" t="str">
        <x:v>sensitive tray temperature tx</x:v>
      </x:c>
      <x:c r="I331" t="str">
        <x:v>instrument</x:v>
      </x:c>
      <x:c r="J331" t="str">
        <x:v>P3</x:v>
      </x:c>
      <x:c r="K331" t="str">
        <x:v>TECO</x:v>
      </x:c>
      <x:c r="L331" t="str">
        <x:v>ANLYZR</x:v>
      </x:c>
      <x:c r="M331" t="str">
        <x:v>pressure_control_fault</x:v>
      </x:c>
      <x:c r="N331" t="str">
        <x:v>no signal</x:v>
      </x:c>
      <x:c r="O331" t="str">
        <x:v>NO_SIGNAL</x:v>
      </x:c>
      <x:c r="P331" t="str">
        <x:v>ELEC</x:v>
      </x:c>
      <x:c r="Q331" t="str">
        <x:v>N</x:v>
      </x:c>
      <x:c r="R331" t="str">
        <x:v>2.0</x:v>
      </x:c>
      <x:c r="S331" t="str">
        <x:v>3698.55</x:v>
      </x:c>
      <x:c r="T331" t="str">
        <x:v>TT-501B no signal again, prod upset</x:v>
      </x:c>
      <x:c r="U331" t="str">
        <x:v>days called for TT-501B sensitive tray temperature tx, pv not movng seen during press control fault. Foud no signal; 24v or card issue. Line was hot so job done slow and with ops standing by. flushed impulse/sample line. still little hunting but acceptable. notif made by ops, maint attended same shift.</x:v>
      </x:c>
    </x:row>
    <x:row r="332" ht="15" hidden="0" customHeight="1">
      <x:c r="A332" t="str">
        <x:v>10450331</x:v>
      </x:c>
      <x:c r="B332" t="str">
        <x:v>40870331</x:v>
      </x:c>
      <x:c r="C332" t="str">
        <x:v>2022-09-25</x:v>
      </x:c>
      <x:c r="D332" t="str">
        <x:v>2022-09-26</x:v>
      </x:c>
      <x:c r="E332" t="str">
        <x:v>2022-09-26</x:v>
      </x:c>
      <x:c r="F332" t="str">
        <x:v>U400-DEETHANIZER-500</x:v>
      </x:c>
      <x:c r="G332" t="str">
        <x:v>P-502B</x:v>
      </x:c>
      <x:c r="H332" t="str">
        <x:v>bottoms pump B</x:v>
      </x:c>
      <x:c r="I332" t="str">
        <x:v>pump</x:v>
      </x:c>
      <x:c r="J332" t="str">
        <x:v>P4</x:v>
      </x:c>
      <x:c r="K332" t="str">
        <x:v>COMP</x:v>
      </x:c>
      <x:c r="L332" t="str">
        <x:v>ROT</x:v>
      </x:c>
      <x:c r="M332" t="str">
        <x:v>feed_composition_shift</x:v>
      </x:c>
      <x:c r="N332" t="str">
        <x:v>seal leak</x:v>
      </x:c>
      <x:c r="O332" t="str">
        <x:v>MECH_SEAL</x:v>
      </x:c>
      <x:c r="P332" t="str">
        <x:v>SEAL</x:v>
      </x:c>
      <x:c r="Q332" t="str">
        <x:v>N</x:v>
      </x:c>
      <x:c r="R332" t="str">
        <x:v>17.0</x:v>
      </x:c>
      <x:c r="S332" t="str">
        <x:v>1172.85</x:v>
      </x:c>
      <x:c r="T332" t="str">
        <x:v>P-502B seal leak again, prod upset</x:v>
      </x:c>
      <x:c r="U332" t="str">
        <x:v>night called for P-502B bottoms pump B, ovhd c3 slip seen during feed composition shift. Foud seal leak; seal face worn / dry run signs. tightened fittings, leak test ok. still little hunting but acceptable. notif made by ops, maint attended same shift.</x:v>
      </x:c>
    </x:row>
    <x:row r="333" ht="15" hidden="0" customHeight="1">
      <x:c r="A333" t="str">
        <x:v>10450332</x:v>
      </x:c>
      <x:c r="B333" t="str">
        <x:v>40870332</x:v>
      </x:c>
      <x:c r="C333" t="str">
        <x:v>2022-09-29</x:v>
      </x:c>
      <x:c r="D333" t="str">
        <x:v>2022-10-01</x:v>
      </x:c>
      <x:c r="E333" t="str">
        <x:v>2022-10-02</x:v>
      </x:c>
      <x:c r="F333" t="str">
        <x:v>U400-DEETHANIZER-500</x:v>
      </x:c>
      <x:c r="G333" t="str">
        <x:v>V-501</x:v>
      </x:c>
      <x:c r="H333" t="str">
        <x:v>deethanizer reflux drum</x:v>
      </x:c>
      <x:c r="I333" t="str">
        <x:v>vessel</x:v>
      </x:c>
      <x:c r="J333" t="str">
        <x:v>P3</x:v>
      </x:c>
      <x:c r="K333" t="str">
        <x:v>COMP</x:v>
      </x:c>
      <x:c r="L333" t="str">
        <x:v>OPS+INST</x:v>
      </x:c>
      <x:c r="M333" t="str">
        <x:v>valve_stiction</x:v>
      </x:c>
      <x:c r="N333" t="str">
        <x:v>level swing</x:v>
      </x:c>
      <x:c r="O333" t="str">
        <x:v>LVL_SWING</x:v>
      </x:c>
      <x:c r="P333" t="str">
        <x:v>CTRL</x:v>
      </x:c>
      <x:c r="Q333" t="str">
        <x:v>N</x:v>
      </x:c>
      <x:c r="R333" t="str">
        <x:v>9.3</x:v>
      </x:c>
      <x:c r="S333" t="str">
        <x:v>5680.17</x:v>
      </x:c>
      <x:c r="T333" t="str">
        <x:v>V-501 level swing again, prod upset</x:v>
      </x:c>
      <x:c r="U333" t="str">
        <x:v>A shift called for V-501 deethanizer rflx drum, air leak seen during valve stiction. Foud level swing; lt/lic problem. calibrated, loop checked with CCR. no leak at handover. notif made by ops, maint attended same shift.</x:v>
      </x:c>
    </x:row>
    <x:row r="334" ht="15" hidden="0" customHeight="1">
      <x:c r="A334" t="str">
        <x:v>10450333</x:v>
      </x:c>
      <x:c r="B334" t="str">
        <x:v>40870333</x:v>
      </x:c>
      <x:c r="C334" t="str">
        <x:v>2022-09-29</x:v>
      </x:c>
      <x:c r="D334" t="str">
        <x:v>2022-10-01</x:v>
      </x:c>
      <x:c r="E334" t="str">
        <x:v>2022-10-03</x:v>
      </x:c>
      <x:c r="F334" t="str">
        <x:v>U400-DEETHANIZER-500</x:v>
      </x:c>
      <x:c r="G334" t="str">
        <x:v>T-501</x:v>
      </x:c>
      <x:c r="H334" t="str">
        <x:v>deethanizer column</x:v>
      </x:c>
      <x:c r="I334" t="str">
        <x:v>column</x:v>
      </x:c>
      <x:c r="J334" t="str">
        <x:v>P2</x:v>
      </x:c>
      <x:c r="K334" t="str">
        <x:v>CLSD</x:v>
      </x:c>
      <x:c r="L334" t="str">
        <x:v>E&amp;I</x:v>
      </x:c>
      <x:c r="M334" t="str">
        <x:v>feed_composition_shift</x:v>
      </x:c>
      <x:c r="N334" t="str">
        <x:v>weeping flange</x:v>
      </x:c>
      <x:c r="O334" t="str">
        <x:v>LEAK</x:v>
      </x:c>
      <x:c r="P334" t="str">
        <x:v>GASKET</x:v>
      </x:c>
      <x:c r="Q334" t="str">
        <x:v>N</x:v>
      </x:c>
      <x:c r="R334" t="str">
        <x:v>12.0</x:v>
      </x:c>
      <x:c r="S334" t="str">
        <x:v>772.44</x:v>
      </x:c>
      <x:c r="T334" t="str">
        <x:v>chk T-501 - weeping flange frm ops</x:v>
      </x:c>
      <x:c r="U334" t="str">
        <x:v>days called for T-501 deethanizer column, ovhd c3 slip seen during feed composition shift. Foud weeping flange; manway/flange seep. History shows same complain last mnth. tightened fittings, leak test ok. need watch next feed swing. notif made by ops, maint attended same shift.</x:v>
      </x:c>
    </x:row>
    <x:row r="335" ht="15" hidden="0" customHeight="1">
      <x:c r="A335" t="str">
        <x:v>10450334</x:v>
      </x:c>
      <x:c r="B335" t="str">
        <x:v>40870334</x:v>
      </x:c>
      <x:c r="C335" t="str">
        <x:v>2022-10-04</x:v>
      </x:c>
      <x:c r="D335" t="str">
        <x:v>2022-10-04</x:v>
      </x:c>
      <x:c r="E335" t="str">
        <x:v>2022-10-04</x:v>
      </x:c>
      <x:c r="F335" t="str">
        <x:v>U400-DEETHANIZER-500</x:v>
      </x:c>
      <x:c r="G335" t="str">
        <x:v>E-502</x:v>
      </x:c>
      <x:c r="H335" t="str">
        <x:v>deethanizer overhead condenser</x:v>
      </x:c>
      <x:c r="I335" t="str">
        <x:v>condenser</x:v>
      </x:c>
      <x:c r="J335" t="str">
        <x:v>P3</x:v>
      </x:c>
      <x:c r="K335" t="str">
        <x:v>COMP</x:v>
      </x:c>
      <x:c r="L335" t="str">
        <x:v>E&amp;I</x:v>
      </x:c>
      <x:c r="M335" t="str">
        <x:v>condenser_fouling</x:v>
      </x:c>
      <x:c r="N335" t="str">
        <x:v>high press</x:v>
      </x:c>
      <x:c r="O335" t="str">
        <x:v>PERF</x:v>
      </x:c>
      <x:c r="P335" t="str">
        <x:v>FOUL</x:v>
      </x:c>
      <x:c r="Q335" t="str">
        <x:v>N</x:v>
      </x:c>
      <x:c r="R335" t="str">
        <x:v>7.3</x:v>
      </x:c>
      <x:c r="S335" t="str">
        <x:v>8513.87</x:v>
      </x:c>
      <x:c r="T335" t="str">
        <x:v>chk E-502 - high press frm ops</x:v>
      </x:c>
      <x:c r="U335" t="str">
        <x:v>night called for E-502 deethanizer overhead condenser, cw dt low seen during condenser fouling. Foud high press; condensing duty poor. Line was hot so job done slow and with ops standing by. cleaned and put back online. ops says ok for now. notif made by ops, maint attended same shift.</x:v>
      </x:c>
    </x:row>
    <x:row r="336" ht="15" hidden="0" customHeight="1">
      <x:c r="A336" t="str">
        <x:v>10450335</x:v>
      </x:c>
      <x:c r="B336" t="str">
        <x:v>40870335</x:v>
      </x:c>
      <x:c r="C336" t="str">
        <x:v>2022-10-04</x:v>
      </x:c>
      <x:c r="D336" t="str">
        <x:v>2022-10-04</x:v>
      </x:c>
      <x:c r="E336" t="str">
        <x:v>2022-10-04</x:v>
      </x:c>
      <x:c r="F336" t="str">
        <x:v>U400-DEETHANIZER-500</x:v>
      </x:c>
      <x:c r="G336" t="str">
        <x:v>FV-502</x:v>
      </x:c>
      <x:c r="H336" t="str">
        <x:v>reflux flow control valve</x:v>
      </x:c>
      <x:c r="I336" t="str">
        <x:v>control_valve</x:v>
      </x:c>
      <x:c r="J336" t="str">
        <x:v>P4</x:v>
      </x:c>
      <x:c r="K336" t="str">
        <x:v>COMP</x:v>
      </x:c>
      <x:c r="L336" t="str">
        <x:v>ROT</x:v>
      </x:c>
      <x:c r="M336" t="str">
        <x:v>reflux_pump_degradation</x:v>
      </x:c>
      <x:c r="N336" t="str">
        <x:v>hunting loop</x:v>
      </x:c>
      <x:c r="O336" t="str">
        <x:v>CTRL_OSC</x:v>
      </x:c>
      <x:c r="P336" t="str">
        <x:v>TUNE</x:v>
      </x:c>
      <x:c r="Q336" t="str">
        <x:v>N</x:v>
      </x:c>
      <x:c r="R336" t="str">
        <x:v>1.1</x:v>
      </x:c>
      <x:c r="S336" t="str">
        <x:v>5855.5</x:v>
      </x:c>
      <x:c r="T336" t="str">
        <x:v>chk FV-502 - hunting loop frm ops</x:v>
      </x:c>
      <x:c r="U336" t="str">
        <x:v>night called for FV-502 reflux flow control valve, min flow hot seen during reflux pump degradation. Foud hunting loop; bad response after upset. Could not get permit first time waiting area gas test. flushed impulse/sample line. temp repair only, plan shutdown job. notif made by ops, maint attended same shift.</x:v>
      </x:c>
    </x:row>
    <x:row r="337" ht="15" hidden="0" customHeight="1">
      <x:c r="A337" t="str">
        <x:v>10450336</x:v>
      </x:c>
      <x:c r="B337" t="str">
        <x:v>40870336</x:v>
      </x:c>
      <x:c r="C337" t="str">
        <x:v>2022-10-03</x:v>
      </x:c>
      <x:c r="D337" t="str">
        <x:v>2022-10-03</x:v>
      </x:c>
      <x:c r="E337" t="str">
        <x:v>2022-10-04</x:v>
      </x:c>
      <x:c r="F337" t="str">
        <x:v>U400-DEETHANIZER-500</x:v>
      </x:c>
      <x:c r="G337" t="str">
        <x:v>E-503</x:v>
      </x:c>
      <x:c r="H337" t="str">
        <x:v>feed bottoms exchanger</x:v>
      </x:c>
      <x:c r="I337" t="str">
        <x:v>exchanger</x:v>
      </x:c>
      <x:c r="J337" t="str">
        <x:v>P2</x:v>
      </x:c>
      <x:c r="K337" t="str">
        <x:v>COMP</x:v>
      </x:c>
      <x:c r="L337" t="str">
        <x:v>INST</x:v>
      </x:c>
      <x:c r="M337" t="str">
        <x:v>pressure_control_fault</x:v>
      </x:c>
      <x:c r="N337" t="str">
        <x:v>plugged pass</x:v>
      </x:c>
      <x:c r="O337" t="str">
        <x:v>PLUG</x:v>
      </x:c>
      <x:c r="P337" t="str">
        <x:v>FOUL</x:v>
      </x:c>
      <x:c r="Q337" t="str">
        <x:v>Y</x:v>
      </x:c>
      <x:c r="R337" t="str">
        <x:v>13.1</x:v>
      </x:c>
      <x:c r="S337" t="str">
        <x:v>4747.59</x:v>
      </x:c>
      <x:c r="T337" t="str">
        <x:v>E-503 plugged pass again, prod upset</x:v>
      </x:c>
      <x:c r="U337" t="str">
        <x:v>A shift called for E-503 feed bottoms exchanger, pshh close call seen during pressure control fault. Foud plugged pass; flow restricted. stroke tested, response better. unit stable now. notif made by ops, maint attended same shift.</x:v>
      </x:c>
    </x:row>
    <x:row r="338" ht="15" hidden="0" customHeight="1">
      <x:c r="A338" t="str">
        <x:v>10450337</x:v>
      </x:c>
      <x:c r="B338" t="str">
        <x:v>40870337</x:v>
      </x:c>
      <x:c r="C338" t="str">
        <x:v>2022-10-08</x:v>
      </x:c>
      <x:c r="D338" t="str">
        <x:v>2022-10-08</x:v>
      </x:c>
      <x:c r="E338" t="str">
        <x:v>2022-10-09</x:v>
      </x:c>
      <x:c r="F338" t="str">
        <x:v>U400-DEETHANIZER-500</x:v>
      </x:c>
      <x:c r="G338" t="str">
        <x:v>TT-501B</x:v>
      </x:c>
      <x:c r="H338" t="str">
        <x:v>sensitive tray temperature tx</x:v>
      </x:c>
      <x:c r="I338" t="str">
        <x:v>instrument</x:v>
      </x:c>
      <x:c r="J338" t="str">
        <x:v>P4</x:v>
      </x:c>
      <x:c r="K338" t="str">
        <x:v>CLSD</x:v>
      </x:c>
      <x:c r="L338" t="str">
        <x:v>E&amp;I</x:v>
      </x:c>
      <x:c r="M338" t="str">
        <x:v>reboiler_duty_loss</x:v>
      </x:c>
      <x:c r="N338" t="str">
        <x:v>range err</x:v>
      </x:c>
      <x:c r="O338" t="str">
        <x:v>SPAN</x:v>
      </x:c>
      <x:c r="P338" t="str">
        <x:v>CAL</x:v>
      </x:c>
      <x:c r="Q338" t="str">
        <x:v>N</x:v>
      </x:c>
      <x:c r="R338" t="str">
        <x:v>12.1</x:v>
      </x:c>
      <x:c r="S338" t="str">
        <x:v>4843.74</x:v>
      </x:c>
      <x:c r="T338" t="str">
        <x:v>chk TT-501B - range err frm ops</x:v>
      </x:c>
      <x:c r="U338" t="str">
        <x:v>B shift called for TT-501B sensitive tray temperature tx, low heat seen during rebiler duty loss. Foud range err; span shifted. Could not get permit first time waiting area gas test. reset trip and monitored for 2 hrs. ops says ok for now. notif made by ops, maint attended same shift.</x:v>
      </x:c>
    </x:row>
    <x:row r="339" ht="15" hidden="0" customHeight="1">
      <x:c r="A339" t="str">
        <x:v>10450338</x:v>
      </x:c>
      <x:c r="B339" t="str">
        <x:v>40870338</x:v>
      </x:c>
      <x:c r="C339" t="str">
        <x:v>2022-10-08</x:v>
      </x:c>
      <x:c r="D339" t="str">
        <x:v>2022-10-08</x:v>
      </x:c>
      <x:c r="E339" t="str">
        <x:v>2022-10-08</x:v>
      </x:c>
      <x:c r="F339" t="str">
        <x:v>U400-DEETHANIZER-500</x:v>
      </x:c>
      <x:c r="G339" t="str">
        <x:v>E-503</x:v>
      </x:c>
      <x:c r="H339" t="str">
        <x:v>feed bottoms exchanger</x:v>
      </x:c>
      <x:c r="I339" t="str">
        <x:v>exchanger</x:v>
      </x:c>
      <x:c r="J339" t="str">
        <x:v>P4</x:v>
      </x:c>
      <x:c r="K339" t="str">
        <x:v>TECO</x:v>
      </x:c>
      <x:c r="L339" t="str">
        <x:v>ROT</x:v>
      </x:c>
      <x:c r="M339" t="str">
        <x:v>feed_flow_step</x:v>
      </x:c>
      <x:c r="N339" t="str">
        <x:v>gasket weep</x:v>
      </x:c>
      <x:c r="O339" t="str">
        <x:v>LEAK</x:v>
      </x:c>
      <x:c r="P339" t="str">
        <x:v>GASKET</x:v>
      </x:c>
      <x:c r="Q339" t="str">
        <x:v>N</x:v>
      </x:c>
      <x:c r="R339" t="str">
        <x:v>7.6</x:v>
      </x:c>
      <x:c r="S339" t="str">
        <x:v>10811.21</x:v>
      </x:c>
      <x:c r="T339" t="str">
        <x:v>E-503 not ok after feed flow step</x:v>
      </x:c>
      <x:c r="U339" t="str">
        <x:v>A shift called for E-503 feed bottoms exchanger, feed jump seen during feed flow step. Foud gasket weep; flange sweating. No spare in store at first, used refurb one from shop. flushed impulse/sample line. readng close to dcs after job. notif made by ops, maint attended same shift.</x:v>
      </x:c>
    </x:row>
    <x:row r="340" ht="15" hidden="0" customHeight="1">
      <x:c r="A340" t="str">
        <x:v>10450339</x:v>
      </x:c>
      <x:c r="B340" t="str">
        <x:v>40870339</x:v>
      </x:c>
      <x:c r="C340" t="str">
        <x:v>2022-10-08</x:v>
      </x:c>
      <x:c r="D340" t="str">
        <x:v>2022-10-10</x:v>
      </x:c>
      <x:c r="E340" t="str">
        <x:v>2022-10-15</x:v>
      </x:c>
      <x:c r="F340" t="str">
        <x:v>U400-DEETHANIZER-500</x:v>
      </x:c>
      <x:c r="G340" t="str">
        <x:v>TV-501</x:v>
      </x:c>
      <x:c r="H340" t="str">
        <x:v>reboiler hot medium valve</x:v>
      </x:c>
      <x:c r="I340" t="str">
        <x:v>control_valve</x:v>
      </x:c>
      <x:c r="J340" t="str">
        <x:v>P3</x:v>
      </x:c>
      <x:c r="K340" t="str">
        <x:v>COMP</x:v>
      </x:c>
      <x:c r="L340" t="str">
        <x:v>OPS+MECH</x:v>
      </x:c>
      <x:c r="M340" t="str">
        <x:v>feed_temperature_ramp</x:v>
      </x:c>
      <x:c r="N340" t="str">
        <x:v>passing</x:v>
      </x:c>
      <x:c r="O340" t="str">
        <x:v>LEAK_BY</x:v>
      </x:c>
      <x:c r="P340" t="str">
        <x:v>SEAT</x:v>
      </x:c>
      <x:c r="Q340" t="str">
        <x:v>N</x:v>
      </x:c>
      <x:c r="R340" t="str">
        <x:v>2.7</x:v>
      </x:c>
      <x:c r="S340" t="str">
        <x:v>1012.46</x:v>
      </x:c>
      <x:c r="T340" t="str">
        <x:v>TV-501 rb duty up, passing</x:v>
      </x:c>
      <x:c r="U340" t="str">
        <x:v>days called for TV-501 reboiler hot medium valve, ovhd press moving seen during feed temperature ramp. Foud passing; seat leak by. Tag plate dirty, confirmd by line up with panel. cleaned and put back online. temp repair only, plan shutdown job. notif made by ops, maint attended same shift.</x:v>
      </x:c>
    </x:row>
    <x:row r="341" ht="15" hidden="0" customHeight="1">
      <x:c r="A341" t="str">
        <x:v>10450340</x:v>
      </x:c>
      <x:c r="B341" t="str">
        <x:v>40870340</x:v>
      </x:c>
      <x:c r="C341" t="str">
        <x:v>2022-10-09</x:v>
      </x:c>
      <x:c r="D341" t="str">
        <x:v>2022-10-09</x:v>
      </x:c>
      <x:c r="E341" t="str">
        <x:v>2022-10-12</x:v>
      </x:c>
      <x:c r="F341" t="str">
        <x:v>U400-DEETHANIZER-500</x:v>
      </x:c>
      <x:c r="G341" t="str">
        <x:v>TV-502</x:v>
      </x:c>
      <x:c r="H341" t="str">
        <x:v>condenser cooling valve</x:v>
      </x:c>
      <x:c r="I341" t="str">
        <x:v>control_valve</x:v>
      </x:c>
      <x:c r="J341" t="str">
        <x:v>P2</x:v>
      </x:c>
      <x:c r="K341" t="str">
        <x:v>CLSD</x:v>
      </x:c>
      <x:c r="L341" t="str">
        <x:v>OPS+INST</x:v>
      </x:c>
      <x:c r="M341" t="str">
        <x:v>valve_stiction</x:v>
      </x:c>
      <x:c r="N341" t="str">
        <x:v>stiction</x:v>
      </x:c>
      <x:c r="O341" t="str">
        <x:v>STICK</x:v>
      </x:c>
      <x:c r="P341" t="str">
        <x:v>PACKING</x:v>
      </x:c>
      <x:c r="Q341" t="str">
        <x:v>Y</x:v>
      </x:c>
      <x:c r="R341" t="str">
        <x:v>14.7</x:v>
      </x:c>
      <x:c r="S341" t="str">
        <x:v>4329.11</x:v>
      </x:c>
      <x:c r="T341" t="str">
        <x:v>TV-502 stiction pls chk</x:v>
      </x:c>
      <x:c r="U341" t="str">
        <x:v>night called for TV-502 condenser cooling valve, loop cycling seen during valve stiction. Foud stiction; stem sticky and pos err. changed gasket and boxed up. temp repair only, plan shutdown job. notif made by ops, maint attended same shift.</x:v>
      </x:c>
    </x:row>
    <x:row r="342" ht="15" hidden="0" customHeight="1">
      <x:c r="A342" t="str">
        <x:v>10450341</x:v>
      </x:c>
      <x:c r="B342" t="str">
        <x:v>40870341</x:v>
      </x:c>
      <x:c r="C342" t="str">
        <x:v>2022-10-10</x:v>
      </x:c>
      <x:c r="D342" t="str">
        <x:v>2022-10-10</x:v>
      </x:c>
      <x:c r="E342" t="str">
        <x:v>2022-10-11</x:v>
      </x:c>
      <x:c r="F342" t="str">
        <x:v>U400-DEETHANIZER-500</x:v>
      </x:c>
      <x:c r="G342" t="str">
        <x:v>P-501B</x:v>
      </x:c>
      <x:c r="H342" t="str">
        <x:v>reflux pump B</x:v>
      </x:c>
      <x:c r="I342" t="str">
        <x:v>pump</x:v>
      </x:c>
      <x:c r="J342" t="str">
        <x:v>P3</x:v>
      </x:c>
      <x:c r="K342" t="str">
        <x:v>COMP</x:v>
      </x:c>
      <x:c r="L342" t="str">
        <x:v>VALVE</x:v>
      </x:c>
      <x:c r="M342" t="str">
        <x:v>condenser_fouling</x:v>
      </x:c>
      <x:c r="N342" t="str">
        <x:v>vib high</x:v>
      </x:c>
      <x:c r="O342" t="str">
        <x:v>VIB</x:v>
      </x:c>
      <x:c r="P342" t="str">
        <x:v>ALIGN</x:v>
      </x:c>
      <x:c r="Q342" t="str">
        <x:v>N</x:v>
      </x:c>
      <x:c r="R342" t="str">
        <x:v>13.3</x:v>
      </x:c>
      <x:c r="S342" t="str">
        <x:v>3907.21</x:v>
      </x:c>
      <x:c r="T342" t="str">
        <x:v>chk P-501B - vib high frm ops</x:v>
      </x:c>
      <x:c r="U342" t="str">
        <x:v>C shift called for P-501B reflux pump B, cond not pullng seen during condenser fouling. Foud vib high; coupling align or cavitation. Line was hot so job done slow and with ops standing by. changed gasket and boxed up. temp repair only, plan shutdown job. notif made by ops, maint attended same shift.</x:v>
      </x:c>
    </x:row>
    <x:row r="343" ht="15" hidden="0" customHeight="1">
      <x:c r="A343" t="str">
        <x:v>10450342</x:v>
      </x:c>
      <x:c r="B343" t="str">
        <x:v>40870342</x:v>
      </x:c>
      <x:c r="C343" t="str">
        <x:v>2022-10-12</x:v>
      </x:c>
      <x:c r="D343" t="str">
        <x:v>2022-10-12</x:v>
      </x:c>
      <x:c r="E343" t="str">
        <x:v>2022-10-12</x:v>
      </x:c>
      <x:c r="F343" t="str">
        <x:v>U400-DEETHANIZER-500</x:v>
      </x:c>
      <x:c r="G343" t="str">
        <x:v>P-502A</x:v>
      </x:c>
      <x:c r="H343" t="str">
        <x:v>bottoms pump A</x:v>
      </x:c>
      <x:c r="I343" t="str">
        <x:v>pump</x:v>
      </x:c>
      <x:c r="J343" t="str">
        <x:v>P2</x:v>
      </x:c>
      <x:c r="K343" t="str">
        <x:v>COMP</x:v>
      </x:c>
      <x:c r="L343" t="str">
        <x:v>VALVE</x:v>
      </x:c>
      <x:c r="M343" t="str">
        <x:v>condenser_fouling</x:v>
      </x:c>
      <x:c r="N343" t="str">
        <x:v>motor trip</x:v>
      </x:c>
      <x:c r="O343" t="str">
        <x:v>MOTOR</x:v>
      </x:c>
      <x:c r="P343" t="str">
        <x:v>ELEC</x:v>
      </x:c>
      <x:c r="Q343" t="str">
        <x:v>N</x:v>
      </x:c>
      <x:c r="R343" t="str">
        <x:v>15.9</x:v>
      </x:c>
      <x:c r="S343" t="str">
        <x:v>15733.79</x:v>
      </x:c>
      <x:c r="T343" t="str">
        <x:v>P-502A not ok after condnsr fouling</x:v>
      </x:c>
      <x:c r="U343" t="str">
        <x:v>night called for P-502A bottoms pump A, high ovhd press seen during condenser fouling. Foud motor trip; overload trip after upset. flushed impulse/sample line. temp repair only, plan shutdown job. notif made by ops, maint attended same shift.</x:v>
      </x:c>
    </x:row>
    <x:row r="344" ht="15" hidden="0" customHeight="1">
      <x:c r="A344" t="str">
        <x:v>10450343</x:v>
      </x:c>
      <x:c r="B344" t="str">
        <x:v>40870343</x:v>
      </x:c>
      <x:c r="C344" t="str">
        <x:v>2022-10-13</x:v>
      </x:c>
      <x:c r="D344" t="str">
        <x:v>2022-10-14</x:v>
      </x:c>
      <x:c r="E344" t="str">
        <x:v>2022-10-15</x:v>
      </x:c>
      <x:c r="F344" t="str">
        <x:v>U400-DEETHANIZER-500</x:v>
      </x:c>
      <x:c r="G344" t="str">
        <x:v>TT-501B</x:v>
      </x:c>
      <x:c r="H344" t="str">
        <x:v>sensitive tray temperature tx</x:v>
      </x:c>
      <x:c r="I344" t="str">
        <x:v>instrument</x:v>
      </x:c>
      <x:c r="J344" t="str">
        <x:v>P3</x:v>
      </x:c>
      <x:c r="K344" t="str">
        <x:v>CLSD</x:v>
      </x:c>
      <x:c r="L344" t="str">
        <x:v>ANLYZR</x:v>
      </x:c>
      <x:c r="M344" t="str">
        <x:v>feed_temperature_ramp</x:v>
      </x:c>
      <x:c r="N344" t="str">
        <x:v>range err</x:v>
      </x:c>
      <x:c r="O344" t="str">
        <x:v>SPAN</x:v>
      </x:c>
      <x:c r="P344" t="str">
        <x:v>CAL</x:v>
      </x:c>
      <x:c r="Q344" t="str">
        <x:v>N</x:v>
      </x:c>
      <x:c r="R344" t="str">
        <x:v>11.4</x:v>
      </x:c>
      <x:c r="S344" t="str">
        <x:v>5821.48</x:v>
      </x:c>
      <x:c r="T344" t="str">
        <x:v>TT-501B rb duty up, range err</x:v>
      </x:c>
      <x:c r="U344" t="str">
        <x:v>days called for TT-501B sensitive tray temperature tx, rb duty up seen during feed temperature ramp. Foud range err; span shifted. stroke tested, response better. readng close to dcs after job. notif made by ops, maint attended same shift.</x:v>
      </x:c>
    </x:row>
    <x:row r="345" ht="15" hidden="0" customHeight="1">
      <x:c r="A345" t="str">
        <x:v>10450344</x:v>
      </x:c>
      <x:c r="B345" t="str">
        <x:v>40870344</x:v>
      </x:c>
      <x:c r="C345" t="str">
        <x:v>2022-10-18</x:v>
      </x:c>
      <x:c r="D345" t="str">
        <x:v>2022-10-19</x:v>
      </x:c>
      <x:c r="E345" t="str">
        <x:v>2022-10-21</x:v>
      </x:c>
      <x:c r="F345" t="str">
        <x:v>U400-DEETHANIZER-500</x:v>
      </x:c>
      <x:c r="G345" t="str">
        <x:v>PSV-502</x:v>
      </x:c>
      <x:c r="H345" t="str">
        <x:v>reflux drum relief valve</x:v>
      </x:c>
      <x:c r="I345" t="str">
        <x:v>relief</x:v>
      </x:c>
      <x:c r="J345" t="str">
        <x:v>P2</x:v>
      </x:c>
      <x:c r="K345" t="str">
        <x:v>CLSD</x:v>
      </x:c>
      <x:c r="L345" t="str">
        <x:v>VALVE</x:v>
      </x:c>
      <x:c r="M345" t="str">
        <x:v>feed_composition_shift</x:v>
      </x:c>
      <x:c r="N345" t="str">
        <x:v>car seal broken</x:v>
      </x:c>
      <x:c r="O345" t="str">
        <x:v>CSO</x:v>
      </x:c>
      <x:c r="P345" t="str">
        <x:v>HUMAN</x:v>
      </x:c>
      <x:c r="Q345" t="str">
        <x:v>N</x:v>
      </x:c>
      <x:c r="R345" t="str">
        <x:v>5.4</x:v>
      </x:c>
      <x:c r="S345" t="str">
        <x:v>5162.88</x:v>
      </x:c>
      <x:c r="T345" t="str">
        <x:v>PSV-502 anlyzr off, car seal broken</x:v>
      </x:c>
      <x:c r="U345" t="str">
        <x:v>days called for PSV-502 reflux drum relief valve, c3 in feed hi seen during feed composition shift. Foud car seal broken; seal missing found. reset trip and monitored for 2 hrs. need watch next feed swing. notif made by ops, maint attended same shift.</x:v>
      </x:c>
    </x:row>
    <x:row r="346" ht="15" hidden="0" customHeight="1">
      <x:c r="A346" t="str">
        <x:v>10450345</x:v>
      </x:c>
      <x:c r="B346" t="str">
        <x:v>40870345</x:v>
      </x:c>
      <x:c r="C346" t="str">
        <x:v>2022-10-19</x:v>
      </x:c>
      <x:c r="D346" t="str">
        <x:v>2022-10-19</x:v>
      </x:c>
      <x:c r="E346" t="str">
        <x:v>2022-10-24</x:v>
      </x:c>
      <x:c r="F346" t="str">
        <x:v>U400-DEETHANIZER-500</x:v>
      </x:c>
      <x:c r="G346" t="str">
        <x:v>XV-501</x:v>
      </x:c>
      <x:c r="H346" t="str">
        <x:v>feed shutdown valve</x:v>
      </x:c>
      <x:c r="I346" t="str">
        <x:v>shutdown_valve</x:v>
      </x:c>
      <x:c r="J346" t="str">
        <x:v>P1</x:v>
      </x:c>
      <x:c r="K346" t="str">
        <x:v>TECO</x:v>
      </x:c>
      <x:c r="L346" t="str">
        <x:v>VALVE</x:v>
      </x:c>
      <x:c r="M346" t="str">
        <x:v>feed_temperature_ramp</x:v>
      </x:c>
      <x:c r="N346" t="str">
        <x:v>solenoid fault</x:v>
      </x:c>
      <x:c r="O346" t="str">
        <x:v>SOL</x:v>
      </x:c>
      <x:c r="P346" t="str">
        <x:v>ELEC</x:v>
      </x:c>
      <x:c r="Q346" t="str">
        <x:v>N</x:v>
      </x:c>
      <x:c r="R346" t="str">
        <x:v>9.3</x:v>
      </x:c>
      <x:c r="S346" t="str">
        <x:v>4091.38</x:v>
      </x:c>
      <x:c r="T346" t="str">
        <x:v>XV-501 solenoid fault again, prod upset</x:v>
      </x:c>
      <x:c r="U346" t="str">
        <x:v>days called for XV-501 feed shutdown valve, rb duty up seen during feed temperature ramp. Foud solenoid fault; coil hot/no shift. Line was hot so job done slow and with ops standing by. cleaned and put back online. readng close to dcs after job. notif made by ops, maint attended same shift.</x:v>
      </x:c>
    </x:row>
    <x:row r="347" ht="15" hidden="0" customHeight="1">
      <x:c r="A347" t="str">
        <x:v>10450346</x:v>
      </x:c>
      <x:c r="B347" t="str">
        <x:v>40870346</x:v>
      </x:c>
      <x:c r="C347" t="str">
        <x:v>2022-10-19</x:v>
      </x:c>
      <x:c r="D347" t="str">
        <x:v>2022-10-19</x:v>
      </x:c>
      <x:c r="E347" t="str">
        <x:v>2022-10-20</x:v>
      </x:c>
      <x:c r="F347" t="str">
        <x:v>U400-DEETHANIZER-500</x:v>
      </x:c>
      <x:c r="G347" t="str">
        <x:v>AIT-502</x:v>
      </x:c>
      <x:c r="H347" t="str">
        <x:v>bottoms C3+ analyzer</x:v>
      </x:c>
      <x:c r="I347" t="str">
        <x:v>analyzer</x:v>
      </x:c>
      <x:c r="J347" t="str">
        <x:v>P2</x:v>
      </x:c>
      <x:c r="K347" t="str">
        <x:v>CLSD</x:v>
      </x:c>
      <x:c r="L347" t="str">
        <x:v>ANLYZR</x:v>
      </x:c>
      <x:c r="M347" t="str">
        <x:v>feed_composition_shift</x:v>
      </x:c>
      <x:c r="N347" t="str">
        <x:v>anlyzr drift</x:v>
      </x:c>
      <x:c r="O347" t="str">
        <x:v>DRIFT</x:v>
      </x:c>
      <x:c r="P347" t="str">
        <x:v>CAL_GAS</x:v>
      </x:c>
      <x:c r="Q347" t="str">
        <x:v>N</x:v>
      </x:c>
      <x:c r="R347" t="str">
        <x:v>8.0</x:v>
      </x:c>
      <x:c r="S347" t="str">
        <x:v>5339.7</x:v>
      </x:c>
      <x:c r="T347" t="str">
        <x:v>AIT-502 anlyzr drift bad</x:v>
      </x:c>
      <x:c r="U347" t="str">
        <x:v>B shift called for AIT-502 bottoms C3+ analyzer, ovhd c3 slip seen during feed composition shift. Foud anlyzr drift; cal gas failed. Could not get permit first time waiting area gas test. flushed impulse/sample line. temp repair only, plan shutdown job. notif made by ops, maint attended same shift.</x:v>
      </x:c>
    </x:row>
    <x:row r="348" ht="15" hidden="0" customHeight="1">
      <x:c r="A348" t="str">
        <x:v>10450347</x:v>
      </x:c>
      <x:c r="B348" t="str">
        <x:v>40870347</x:v>
      </x:c>
      <x:c r="C348" t="str">
        <x:v>2022-10-21</x:v>
      </x:c>
      <x:c r="D348" t="str">
        <x:v>2022-10-21</x:v>
      </x:c>
      <x:c r="E348" t="str">
        <x:v>2022-10-23</x:v>
      </x:c>
      <x:c r="F348" t="str">
        <x:v>U400-DEETHANIZER-500</x:v>
      </x:c>
      <x:c r="G348" t="str">
        <x:v>E-502</x:v>
      </x:c>
      <x:c r="H348" t="str">
        <x:v>deethanizer overhead condenser</x:v>
      </x:c>
      <x:c r="I348" t="str">
        <x:v>condenser</x:v>
      </x:c>
      <x:c r="J348" t="str">
        <x:v>P4</x:v>
      </x:c>
      <x:c r="K348" t="str">
        <x:v>CLSD</x:v>
      </x:c>
      <x:c r="L348" t="str">
        <x:v>INST</x:v>
      </x:c>
      <x:c r="M348" t="str">
        <x:v>condenser_fouling</x:v>
      </x:c>
      <x:c r="N348" t="str">
        <x:v>tube leak sus</x:v>
      </x:c>
      <x:c r="O348" t="str">
        <x:v>LEAK</x:v>
      </x:c>
      <x:c r="P348" t="str">
        <x:v>TUBE</x:v>
      </x:c>
      <x:c r="Q348" t="str">
        <x:v>N</x:v>
      </x:c>
      <x:c r="R348" t="str">
        <x:v>8.2</x:v>
      </x:c>
      <x:c r="S348" t="str">
        <x:v>15133.2</x:v>
      </x:c>
      <x:c r="T348" t="str">
        <x:v>E-502 tube leak sus ops req</x:v>
      </x:c>
      <x:c r="U348" t="str">
        <x:v>night called for E-502 deethanizer overhead condenser, pic wide open seen during condenser fouling. Foud tube leak sus; hydrotest reqd. changed gasket and boxed up. no leak at handover. notif made by ops, maint attended same shift.</x:v>
      </x:c>
    </x:row>
    <x:row r="349" ht="15" hidden="0" customHeight="1">
      <x:c r="A349" t="str">
        <x:v>10450348</x:v>
      </x:c>
      <x:c r="B349" t="str">
        <x:v>40870348</x:v>
      </x:c>
      <x:c r="C349" t="str">
        <x:v>2022-10-23</x:v>
      </x:c>
      <x:c r="D349" t="str">
        <x:v>2022-10-25</x:v>
      </x:c>
      <x:c r="E349" t="str">
        <x:v>2022-10-28</x:v>
      </x:c>
      <x:c r="F349" t="str">
        <x:v>U400-DEETHANIZER-500</x:v>
      </x:c>
      <x:c r="G349" t="str">
        <x:v>TT-501B</x:v>
      </x:c>
      <x:c r="H349" t="str">
        <x:v>sensitive tray temperature tx</x:v>
      </x:c>
      <x:c r="I349" t="str">
        <x:v>instrument</x:v>
      </x:c>
      <x:c r="J349" t="str">
        <x:v>P2</x:v>
      </x:c>
      <x:c r="K349" t="str">
        <x:v>COMP</x:v>
      </x:c>
      <x:c r="L349" t="str">
        <x:v>ANLYZR</x:v>
      </x:c>
      <x:c r="M349" t="str">
        <x:v>reboiler_duty_loss</x:v>
      </x:c>
      <x:c r="N349" t="str">
        <x:v>no signal</x:v>
      </x:c>
      <x:c r="O349" t="str">
        <x:v>NO_SIGNAL</x:v>
      </x:c>
      <x:c r="P349" t="str">
        <x:v>ELEC</x:v>
      </x:c>
      <x:c r="Q349" t="str">
        <x:v>N</x:v>
      </x:c>
      <x:c r="R349" t="str">
        <x:v>8.3</x:v>
      </x:c>
      <x:c r="S349" t="str">
        <x:v>5243.09</x:v>
      </x:c>
      <x:c r="T349" t="str">
        <x:v>TT-501B no signal again, prod upset</x:v>
      </x:c>
      <x:c r="U349" t="str">
        <x:v>days called for TT-501B sensitive tray temperature tx, steam/hm valve no resp seen during reboiler duty loss. Foud no signal; 24v or card issue. Tag plate dirty, confirmd by line up with panel. stroke tested, response better. readng close to dcs after job. notif made by ops, maint attended same shift.</x:v>
      </x:c>
    </x:row>
    <x:row r="350" ht="15" hidden="0" customHeight="1">
      <x:c r="A350" t="str">
        <x:v>10450349</x:v>
      </x:c>
      <x:c r="B350" t="str">
        <x:v>40870349</x:v>
      </x:c>
      <x:c r="C350" t="str">
        <x:v>2022-10-22</x:v>
      </x:c>
      <x:c r="D350" t="str">
        <x:v>2022-10-24</x:v>
      </x:c>
      <x:c r="E350" t="str">
        <x:v>2022-10-26</x:v>
      </x:c>
      <x:c r="F350" t="str">
        <x:v>U400-DEETHANIZER-500</x:v>
      </x:c>
      <x:c r="G350" t="str">
        <x:v>FT-501</x:v>
      </x:c>
      <x:c r="H350" t="str">
        <x:v>feed flow transmitter</x:v>
      </x:c>
      <x:c r="I350" t="str">
        <x:v>instrument</x:v>
      </x:c>
      <x:c r="J350" t="str">
        <x:v>P3</x:v>
      </x:c>
      <x:c r="K350" t="str">
        <x:v>COMP</x:v>
      </x:c>
      <x:c r="L350" t="str">
        <x:v>E&amp;I</x:v>
      </x:c>
      <x:c r="M350" t="str">
        <x:v>feed_flow_step</x:v>
      </x:c>
      <x:c r="N350" t="str">
        <x:v>range err</x:v>
      </x:c>
      <x:c r="O350" t="str">
        <x:v>SPAN</x:v>
      </x:c>
      <x:c r="P350" t="str">
        <x:v>CAL</x:v>
      </x:c>
      <x:c r="Q350" t="str">
        <x:v>N</x:v>
      </x:c>
      <x:c r="R350" t="str">
        <x:v>9.5</x:v>
      </x:c>
      <x:c r="S350" t="str">
        <x:v>259.8</x:v>
      </x:c>
      <x:c r="T350" t="str">
        <x:v>FT-501 not ok after feed flow step</x:v>
      </x:c>
      <x:c r="U350" t="str">
        <x:v>C shift called for FT-501 feed flow tx, fic hunting seen during feed flow step. Foud range err; span shifted. flushed impulse/sample line. still little hunting but acceptable. notif made by ops, maint attended same shift.</x:v>
      </x:c>
    </x:row>
    <x:row r="351" ht="15" hidden="0" customHeight="1">
      <x:c r="A351" t="str">
        <x:v>10450350</x:v>
      </x:c>
      <x:c r="B351" t="str">
        <x:v>40870350</x:v>
      </x:c>
      <x:c r="C351" t="str">
        <x:v>2022-10-26</x:v>
      </x:c>
      <x:c r="D351" t="str">
        <x:v>2022-10-27</x:v>
      </x:c>
      <x:c r="E351" t="str">
        <x:v>2022-10-27</x:v>
      </x:c>
      <x:c r="F351" t="str">
        <x:v>U400-DEETHANIZER-500</x:v>
      </x:c>
      <x:c r="G351" t="str">
        <x:v>TV-502</x:v>
      </x:c>
      <x:c r="H351" t="str">
        <x:v>condenser cooling valve</x:v>
      </x:c>
      <x:c r="I351" t="str">
        <x:v>control_valve</x:v>
      </x:c>
      <x:c r="J351" t="str">
        <x:v>P2</x:v>
      </x:c>
      <x:c r="K351" t="str">
        <x:v>COMP</x:v>
      </x:c>
      <x:c r="L351" t="str">
        <x:v>INST</x:v>
      </x:c>
      <x:c r="M351" t="str">
        <x:v>valve_stiction</x:v>
      </x:c>
      <x:c r="N351" t="str">
        <x:v>air leak</x:v>
      </x:c>
      <x:c r="O351" t="str">
        <x:v>AIR_LEAK</x:v>
      </x:c>
      <x:c r="P351" t="str">
        <x:v>TUBING</x:v>
      </x:c>
      <x:c r="Q351" t="str">
        <x:v>Y</x:v>
      </x:c>
      <x:c r="R351" t="str">
        <x:v>16.2</x:v>
      </x:c>
      <x:c r="S351" t="str">
        <x:v>6601.55</x:v>
      </x:c>
      <x:c r="T351" t="str">
        <x:v>TV-502 air leak, air leak</x:v>
      </x:c>
      <x:c r="U351" t="str">
        <x:v>days called for TV-502 condnsr cooling valve, valve sticking seen during valve stiction. Foud air leak; positioner supply drop. Tag plate dirty, confirmd by line up with panel. flushed impulse/sample line. still little hunting but acceptable. notif made by ops, maint attended same shift.</x:v>
      </x:c>
    </x:row>
    <x:row r="352" ht="15" hidden="0" customHeight="1">
      <x:c r="A352" t="str">
        <x:v>10450351</x:v>
      </x:c>
      <x:c r="B352" t="str">
        <x:v>40870351</x:v>
      </x:c>
      <x:c r="C352" t="str">
        <x:v>2022-10-29</x:v>
      </x:c>
      <x:c r="D352" t="str">
        <x:v>2022-10-29</x:v>
      </x:c>
      <x:c r="E352" t="str">
        <x:v>2022-10-31</x:v>
      </x:c>
      <x:c r="F352" t="str">
        <x:v>U400-DEETHANIZER-500</x:v>
      </x:c>
      <x:c r="G352" t="str">
        <x:v>E-501</x:v>
      </x:c>
      <x:c r="H352" t="str">
        <x:v>deethanizer reboiler</x:v>
      </x:c>
      <x:c r="I352" t="str">
        <x:v>reboiler</x:v>
      </x:c>
      <x:c r="J352" t="str">
        <x:v>P2</x:v>
      </x:c>
      <x:c r="K352" t="str">
        <x:v>COMP</x:v>
      </x:c>
      <x:c r="L352" t="str">
        <x:v>VALVE</x:v>
      </x:c>
      <x:c r="M352" t="str">
        <x:v>feed_temperature_ramp</x:v>
      </x:c>
      <x:c r="N352" t="str">
        <x:v>fouled bundle</x:v>
      </x:c>
      <x:c r="O352" t="str">
        <x:v>FOULING</x:v>
      </x:c>
      <x:c r="P352" t="str">
        <x:v>PROCESS</x:v>
      </x:c>
      <x:c r="Q352" t="str">
        <x:v>N</x:v>
      </x:c>
      <x:c r="R352" t="str">
        <x:v>5.4</x:v>
      </x:c>
      <x:c r="S352" t="str">
        <x:v>10946.36</x:v>
      </x:c>
      <x:c r="T352" t="str">
        <x:v>E-501 fouled bundle bad</x:v>
      </x:c>
      <x:c r="U352" t="str">
        <x:v>B shift called for E-501 deethanizer rebiler, feed temp high seen during feed temperature ramp. Foud fouled bundle; bottoms side dirty. History shows same complain last mnth. reset trip and monitored for 2 hrs. readng close to dcs after job. notif made by ops, maint attended same shift.</x:v>
      </x:c>
    </x:row>
    <x:row r="353" ht="15" hidden="0" customHeight="1">
      <x:c r="A353" t="str">
        <x:v>10450352</x:v>
      </x:c>
      <x:c r="B353" t="str">
        <x:v>40870352</x:v>
      </x:c>
      <x:c r="C353" t="str">
        <x:v>2022-10-31</x:v>
      </x:c>
      <x:c r="D353" t="str">
        <x:v>2022-10-31</x:v>
      </x:c>
      <x:c r="E353" t="str">
        <x:v>2022-11-01</x:v>
      </x:c>
      <x:c r="F353" t="str">
        <x:v>U400-DEETHANIZER-500</x:v>
      </x:c>
      <x:c r="G353" t="str">
        <x:v>TV-501</x:v>
      </x:c>
      <x:c r="H353" t="str">
        <x:v>reboiler hot medium valve</x:v>
      </x:c>
      <x:c r="I353" t="str">
        <x:v>control_valve</x:v>
      </x:c>
      <x:c r="J353" t="str">
        <x:v>P4</x:v>
      </x:c>
      <x:c r="K353" t="str">
        <x:v>TECO</x:v>
      </x:c>
      <x:c r="L353" t="str">
        <x:v>INST</x:v>
      </x:c>
      <x:c r="M353" t="str">
        <x:v>feed_temperature_ramp</x:v>
      </x:c>
      <x:c r="N353" t="str">
        <x:v>air leak</x:v>
      </x:c>
      <x:c r="O353" t="str">
        <x:v>AIR_LEAK</x:v>
      </x:c>
      <x:c r="P353" t="str">
        <x:v>TUBING</x:v>
      </x:c>
      <x:c r="Q353" t="str">
        <x:v>N</x:v>
      </x:c>
      <x:c r="R353" t="str">
        <x:v>13.9</x:v>
      </x:c>
      <x:c r="S353" t="str">
        <x:v>4115.3</x:v>
      </x:c>
      <x:c r="T353" t="str">
        <x:v>TV-501 air leak again, prod upset</x:v>
      </x:c>
      <x:c r="U353" t="str">
        <x:v>days called for TV-501 reboiler hot medium valve, ovhd press moving seen during feed temperature ramp. Foud air leak; positioner supply drop. opened strainer, cleaned black sludge. need watch next feed swing. notif made by ops, maint attended same shift.</x:v>
      </x:c>
    </x:row>
    <x:row r="354" ht="15" hidden="0" customHeight="1">
      <x:c r="A354" t="str">
        <x:v>10450353</x:v>
      </x:c>
      <x:c r="B354" t="str">
        <x:v>40870353</x:v>
      </x:c>
      <x:c r="C354" t="str">
        <x:v>2022-10-30</x:v>
      </x:c>
      <x:c r="D354" t="str">
        <x:v>2022-10-31</x:v>
      </x:c>
      <x:c r="E354" t="str">
        <x:v>2022-11-01</x:v>
      </x:c>
      <x:c r="F354" t="str">
        <x:v>U400-DEETHANIZER-500</x:v>
      </x:c>
      <x:c r="G354" t="str">
        <x:v>TV-501</x:v>
      </x:c>
      <x:c r="H354" t="str">
        <x:v>reboiler hot medium valve</x:v>
      </x:c>
      <x:c r="I354" t="str">
        <x:v>control_valve</x:v>
      </x:c>
      <x:c r="J354" t="str">
        <x:v>P3</x:v>
      </x:c>
      <x:c r="K354" t="str">
        <x:v>CLSD</x:v>
      </x:c>
      <x:c r="L354" t="str">
        <x:v>MECH</x:v>
      </x:c>
      <x:c r="M354" t="str">
        <x:v>feed_composition_shift</x:v>
      </x:c>
      <x:c r="N354" t="str">
        <x:v>passing</x:v>
      </x:c>
      <x:c r="O354" t="str">
        <x:v>LEAK_BY</x:v>
      </x:c>
      <x:c r="P354" t="str">
        <x:v>SEAT</x:v>
      </x:c>
      <x:c r="Q354" t="str">
        <x:v>N</x:v>
      </x:c>
      <x:c r="R354" t="str">
        <x:v>12.4</x:v>
      </x:c>
      <x:c r="S354" t="str">
        <x:v>5472.2</x:v>
      </x:c>
      <x:c r="T354" t="str">
        <x:v>chk TV-501 - passing frm ops</x:v>
      </x:c>
      <x:c r="U354" t="str">
        <x:v>B shift called for TV-501 rebiler hot medium valve, anlyzr off seen during feed composition shift. Foud passing; seat leak by. Could not get permit first time waiting area gas test. swapped to standby and repaired. temp repair only, plan shutdown job. notif made by ops, maint attended same shift.</x:v>
      </x:c>
    </x:row>
    <x:row r="355" ht="15" hidden="0" customHeight="1">
      <x:c r="A355" t="str">
        <x:v>10450354</x:v>
      </x:c>
      <x:c r="B355" t="str">
        <x:v>40870354</x:v>
      </x:c>
      <x:c r="C355" t="str">
        <x:v>2022-10-29</x:v>
      </x:c>
      <x:c r="D355" t="str">
        <x:v>2022-10-30</x:v>
      </x:c>
      <x:c r="E355" t="str">
        <x:v>2022-11-04</x:v>
      </x:c>
      <x:c r="F355" t="str">
        <x:v>U400-DEETHANIZER-500</x:v>
      </x:c>
      <x:c r="G355" t="str">
        <x:v>E-503</x:v>
      </x:c>
      <x:c r="H355" t="str">
        <x:v>feed bottoms exchanger</x:v>
      </x:c>
      <x:c r="I355" t="str">
        <x:v>exchanger</x:v>
      </x:c>
      <x:c r="J355" t="str">
        <x:v>P3</x:v>
      </x:c>
      <x:c r="K355" t="str">
        <x:v>COMP</x:v>
      </x:c>
      <x:c r="L355" t="str">
        <x:v>ROT</x:v>
      </x:c>
      <x:c r="M355" t="str">
        <x:v>feed_temperature_ramp</x:v>
      </x:c>
      <x:c r="N355" t="str">
        <x:v>gasket weep</x:v>
      </x:c>
      <x:c r="O355" t="str">
        <x:v>LEAK</x:v>
      </x:c>
      <x:c r="P355" t="str">
        <x:v>GASKET</x:v>
      </x:c>
      <x:c r="Q355" t="str">
        <x:v>N</x:v>
      </x:c>
      <x:c r="R355" t="str">
        <x:v>9.2</x:v>
      </x:c>
      <x:c r="S355" t="str">
        <x:v>13258.62</x:v>
      </x:c>
      <x:c r="T355" t="str">
        <x:v>E-503 ovhd press moving, gasket weep</x:v>
      </x:c>
      <x:c r="U355" t="str">
        <x:v>B shift called for E-503 feed bottoms exchanger, spec off seen during feed temperature ramp. Foud gasket weep; flange sweating. cleaned and put back online. no leak at handover. notif made by ops, maint attended same shift.</x:v>
      </x:c>
    </x:row>
    <x:row r="356" ht="15" hidden="0" customHeight="1">
      <x:c r="A356" t="str">
        <x:v>10450355</x:v>
      </x:c>
      <x:c r="B356" t="str">
        <x:v>40870355</x:v>
      </x:c>
      <x:c r="C356" t="str">
        <x:v>2022-11-02</x:v>
      </x:c>
      <x:c r="D356" t="str">
        <x:v>2022-11-04</x:v>
      </x:c>
      <x:c r="E356" t="str">
        <x:v>2022-11-05</x:v>
      </x:c>
      <x:c r="F356" t="str">
        <x:v>U400-DEETHANIZER-500</x:v>
      </x:c>
      <x:c r="G356" t="str">
        <x:v>E-501</x:v>
      </x:c>
      <x:c r="H356" t="str">
        <x:v>deethanizer reboiler</x:v>
      </x:c>
      <x:c r="I356" t="str">
        <x:v>reboiler</x:v>
      </x:c>
      <x:c r="J356" t="str">
        <x:v>P2</x:v>
      </x:c>
      <x:c r="K356" t="str">
        <x:v>TECO</x:v>
      </x:c>
      <x:c r="L356" t="str">
        <x:v>ROT</x:v>
      </x:c>
      <x:c r="M356" t="str">
        <x:v>feed_composition_shift</x:v>
      </x:c>
      <x:c r="N356" t="str">
        <x:v>fouled bundle</x:v>
      </x:c>
      <x:c r="O356" t="str">
        <x:v>FOULING</x:v>
      </x:c>
      <x:c r="P356" t="str">
        <x:v>PROCESS</x:v>
      </x:c>
      <x:c r="Q356" t="str">
        <x:v>Y</x:v>
      </x:c>
      <x:c r="R356" t="str">
        <x:v>7.4</x:v>
      </x:c>
      <x:c r="S356" t="str">
        <x:v>16955.45</x:v>
      </x:c>
      <x:c r="T356" t="str">
        <x:v>E-501 fouled bundle again, prod upset</x:v>
      </x:c>
      <x:c r="U356" t="str">
        <x:v>B shift called for E-501 deethanizer reboiler, ovhd c3 slip seen during feed composition shift. Foud fouled bundle; bottoms side dirty. flushed impulse/sample line. ops says ok for now. notif made by ops, maint attended same shift.</x:v>
      </x:c>
    </x:row>
    <x:row r="357" ht="15" hidden="0" customHeight="1">
      <x:c r="A357" t="str">
        <x:v>10450356</x:v>
      </x:c>
      <x:c r="B357" t="str">
        <x:v>40870356</x:v>
      </x:c>
      <x:c r="C357" t="str">
        <x:v>2022-11-05</x:v>
      </x:c>
      <x:c r="D357" t="str">
        <x:v>2022-11-06</x:v>
      </x:c>
      <x:c r="E357" t="str">
        <x:v>2022-11-07</x:v>
      </x:c>
      <x:c r="F357" t="str">
        <x:v>U400-DEETHANIZER-500</x:v>
      </x:c>
      <x:c r="G357" t="str">
        <x:v>P-501B</x:v>
      </x:c>
      <x:c r="H357" t="str">
        <x:v>reflux pump B</x:v>
      </x:c>
      <x:c r="I357" t="str">
        <x:v>pump</x:v>
      </x:c>
      <x:c r="J357" t="str">
        <x:v>P2</x:v>
      </x:c>
      <x:c r="K357" t="str">
        <x:v>TECO</x:v>
      </x:c>
      <x:c r="L357" t="str">
        <x:v>ANLYZR</x:v>
      </x:c>
      <x:c r="M357" t="str">
        <x:v>reflux_pump_degradation</x:v>
      </x:c>
      <x:c r="N357" t="str">
        <x:v>bearing hot</x:v>
      </x:c>
      <x:c r="O357" t="str">
        <x:v>BRG</x:v>
      </x:c>
      <x:c r="P357" t="str">
        <x:v>WEAR</x:v>
      </x:c>
      <x:c r="Q357" t="str">
        <x:v>N</x:v>
      </x:c>
      <x:c r="R357" t="str">
        <x:v>12.4</x:v>
      </x:c>
      <x:c r="S357" t="str">
        <x:v>11227.05</x:v>
      </x:c>
      <x:c r="T357" t="str">
        <x:v>P-501B not ok after rflx pump degradation</x:v>
      </x:c>
      <x:c r="U357" t="str">
        <x:v>night called for P-501B reflux pump B, pump vib seen during reflux pump degradation. Foud bearing hot; brg rough, lube dark. History shows same complain last mnth. flushed impulse/sample line. need watch next feed swing. notif made by ops, maint attended same shift.</x:v>
      </x:c>
    </x:row>
    <x:row r="358" ht="15" hidden="0" customHeight="1">
      <x:c r="A358" t="str">
        <x:v>10450357</x:v>
      </x:c>
      <x:c r="B358" t="str">
        <x:v>40870357</x:v>
      </x:c>
      <x:c r="C358" t="str">
        <x:v>2022-11-05</x:v>
      </x:c>
      <x:c r="D358" t="str">
        <x:v>2022-11-06</x:v>
      </x:c>
      <x:c r="E358" t="str">
        <x:v>2022-11-07</x:v>
      </x:c>
      <x:c r="F358" t="str">
        <x:v>U400-DEETHANIZER-500</x:v>
      </x:c>
      <x:c r="G358" t="str">
        <x:v>FV-502</x:v>
      </x:c>
      <x:c r="H358" t="str">
        <x:v>reflux flow control valve</x:v>
      </x:c>
      <x:c r="I358" t="str">
        <x:v>control_valve</x:v>
      </x:c>
      <x:c r="J358" t="str">
        <x:v>P3</x:v>
      </x:c>
      <x:c r="K358" t="str">
        <x:v>COMP</x:v>
      </x:c>
      <x:c r="L358" t="str">
        <x:v>INST</x:v>
      </x:c>
      <x:c r="M358" t="str">
        <x:v>reflux_pump_degradation</x:v>
      </x:c>
      <x:c r="N358" t="str">
        <x:v>stiction</x:v>
      </x:c>
      <x:c r="O358" t="str">
        <x:v>STICK</x:v>
      </x:c>
      <x:c r="P358" t="str">
        <x:v>PACKING</x:v>
      </x:c>
      <x:c r="Q358" t="str">
        <x:v>N</x:v>
      </x:c>
      <x:c r="R358" t="str">
        <x:v>4.9</x:v>
      </x:c>
      <x:c r="S358" t="str">
        <x:v>5514.28</x:v>
      </x:c>
      <x:c r="T358" t="str">
        <x:v>FV-502 min flow hot, stiction</x:v>
      </x:c>
      <x:c r="U358" t="str">
        <x:v>days called for FV-502 reflux flow ctrl valve, min flow hot seen during reflux pump degradation. Foud stiction; stem sticky and pos err. History shows same complain last mnth. cleaned and put back online. need watch next feed swing. notif made by ops, maint attended same shift.</x:v>
      </x:c>
    </x:row>
    <x:row r="359" ht="15" hidden="0" customHeight="1">
      <x:c r="A359" t="str">
        <x:v>10450358</x:v>
      </x:c>
      <x:c r="B359" t="str">
        <x:v>40870358</x:v>
      </x:c>
      <x:c r="C359" t="str">
        <x:v>2022-11-06</x:v>
      </x:c>
      <x:c r="D359" t="str">
        <x:v>2022-11-07</x:v>
      </x:c>
      <x:c r="E359" t="str">
        <x:v>2022-11-07</x:v>
      </x:c>
      <x:c r="F359" t="str">
        <x:v>U400-DEETHANIZER-500</x:v>
      </x:c>
      <x:c r="G359" t="str">
        <x:v>TT-503</x:v>
      </x:c>
      <x:c r="H359" t="str">
        <x:v>reboiler outlet temperature tx</x:v>
      </x:c>
      <x:c r="I359" t="str">
        <x:v>instrument</x:v>
      </x:c>
      <x:c r="J359" t="str">
        <x:v>P3</x:v>
      </x:c>
      <x:c r="K359" t="str">
        <x:v>COMP</x:v>
      </x:c>
      <x:c r="L359" t="str">
        <x:v>ANLYZR</x:v>
      </x:c>
      <x:c r="M359" t="str">
        <x:v>reboiler_duty_loss</x:v>
      </x:c>
      <x:c r="N359" t="str">
        <x:v>impulse plugged</x:v>
      </x:c>
      <x:c r="O359" t="str">
        <x:v>PLUG</x:v>
      </x:c>
      <x:c r="P359" t="str">
        <x:v>PROCESS</x:v>
      </x:c>
      <x:c r="Q359" t="str">
        <x:v>N</x:v>
      </x:c>
      <x:c r="R359" t="str">
        <x:v>17.0</x:v>
      </x:c>
      <x:c r="S359" t="str">
        <x:v>3079.76</x:v>
      </x:c>
      <x:c r="T359" t="str">
        <x:v>TT-503 impulse plugged again, prod upset</x:v>
      </x:c>
      <x:c r="U359" t="str">
        <x:v>days called for TT-503 reboiler outlet temperature tx, steam/hm vavle no resp seen during reboiler duty loss. Foud impulse plugged; tap/line dirty. Line was hot so job done slow and with ops standing by. swapped to standby and repaired. need watch next feed swing. notif made by ops, maint attended same shift.</x:v>
      </x:c>
    </x:row>
    <x:row r="360" ht="15" hidden="0" customHeight="1">
      <x:c r="A360" t="str">
        <x:v>10450359</x:v>
      </x:c>
      <x:c r="B360" t="str">
        <x:v>40870359</x:v>
      </x:c>
      <x:c r="C360" t="str">
        <x:v>2022-11-07</x:v>
      </x:c>
      <x:c r="D360" t="str">
        <x:v>2022-11-07</x:v>
      </x:c>
      <x:c r="E360" t="str">
        <x:v>2022-11-09</x:v>
      </x:c>
      <x:c r="F360" t="str">
        <x:v>U400-DEETHANIZER-500</x:v>
      </x:c>
      <x:c r="G360" t="str">
        <x:v>TV-502</x:v>
      </x:c>
      <x:c r="H360" t="str">
        <x:v>condenser cooling valve</x:v>
      </x:c>
      <x:c r="I360" t="str">
        <x:v>control_valve</x:v>
      </x:c>
      <x:c r="J360" t="str">
        <x:v>P3</x:v>
      </x:c>
      <x:c r="K360" t="str">
        <x:v>TECO</x:v>
      </x:c>
      <x:c r="L360" t="str">
        <x:v>MECH</x:v>
      </x:c>
      <x:c r="M360" t="str">
        <x:v>valve_stiction</x:v>
      </x:c>
      <x:c r="N360" t="str">
        <x:v>hunting loop</x:v>
      </x:c>
      <x:c r="O360" t="str">
        <x:v>CTRL_OSC</x:v>
      </x:c>
      <x:c r="P360" t="str">
        <x:v>TUNE</x:v>
      </x:c>
      <x:c r="Q360" t="str">
        <x:v>N</x:v>
      </x:c>
      <x:c r="R360" t="str">
        <x:v>9.3</x:v>
      </x:c>
      <x:c r="S360" t="str">
        <x:v>5788.74</x:v>
      </x:c>
      <x:c r="T360" t="str">
        <x:v>TV-502 hunting loop again, prod upset</x:v>
      </x:c>
      <x:c r="U360" t="str">
        <x:v>days called for TV-502 condenser cooling valve, position bad seen during valve stiction. Foud hunting loop; bad response after upset. reset trip and monitored for 2 hrs. ops says ok for now. notif made by ops, maint attended same shift.</x:v>
      </x:c>
    </x:row>
    <x:row r="361" ht="15" hidden="0" customHeight="1">
      <x:c r="A361" t="str">
        <x:v>10450360</x:v>
      </x:c>
      <x:c r="B361" t="str">
        <x:v>40870360</x:v>
      </x:c>
      <x:c r="C361" t="str">
        <x:v>2022-11-12</x:v>
      </x:c>
      <x:c r="D361" t="str">
        <x:v>2022-11-12</x:v>
      </x:c>
      <x:c r="E361" t="str">
        <x:v>2022-11-13</x:v>
      </x:c>
      <x:c r="F361" t="str">
        <x:v>U400-DEETHANIZER-500</x:v>
      </x:c>
      <x:c r="G361" t="str">
        <x:v>E-501</x:v>
      </x:c>
      <x:c r="H361" t="str">
        <x:v>deethanizer reboiler</x:v>
      </x:c>
      <x:c r="I361" t="str">
        <x:v>reboiler</x:v>
      </x:c>
      <x:c r="J361" t="str">
        <x:v>P3</x:v>
      </x:c>
      <x:c r="K361" t="str">
        <x:v>TECO</x:v>
      </x:c>
      <x:c r="L361" t="str">
        <x:v>MECH</x:v>
      </x:c>
      <x:c r="M361" t="str">
        <x:v>feed_temperature_ramp</x:v>
      </x:c>
      <x:c r="N361" t="str">
        <x:v>circ poor</x:v>
      </x:c>
      <x:c r="O361" t="str">
        <x:v>NO_FLOW</x:v>
      </x:c>
      <x:c r="P361" t="str">
        <x:v>PLUG</x:v>
      </x:c>
      <x:c r="Q361" t="str">
        <x:v>N</x:v>
      </x:c>
      <x:c r="R361" t="str">
        <x:v>13.6</x:v>
      </x:c>
      <x:c r="S361" t="str">
        <x:v>16743.5</x:v>
      </x:c>
      <x:c r="T361" t="str">
        <x:v>chk E-501 - circ poor frm ops</x:v>
      </x:c>
      <x:c r="U361" t="str">
        <x:v>night called for E-501 deethanizer reboiler, spec off seen during feed temperature ramp. Foud circ poor; blocked inlet screen. reset trip and monitored for 2 hrs. unit stable now. notif made by ops, maint attended same shift.</x:v>
      </x:c>
    </x:row>
    <x:row r="362" ht="15" hidden="0" customHeight="1">
      <x:c r="A362" t="str">
        <x:v>10450361</x:v>
      </x:c>
      <x:c r="B362" t="str">
        <x:v>40870361</x:v>
      </x:c>
      <x:c r="C362" t="str">
        <x:v>2022-11-11</x:v>
      </x:c>
      <x:c r="D362" t="str">
        <x:v>2022-11-13</x:v>
      </x:c>
      <x:c r="E362" t="str">
        <x:v>2022-11-18</x:v>
      </x:c>
      <x:c r="F362" t="str">
        <x:v>U400-DEETHANIZER-500</x:v>
      </x:c>
      <x:c r="G362" t="str">
        <x:v>E-502</x:v>
      </x:c>
      <x:c r="H362" t="str">
        <x:v>deethanizer overhead condenser</x:v>
      </x:c>
      <x:c r="I362" t="str">
        <x:v>condenser</x:v>
      </x:c>
      <x:c r="J362" t="str">
        <x:v>P3</x:v>
      </x:c>
      <x:c r="K362" t="str">
        <x:v>COMP</x:v>
      </x:c>
      <x:c r="L362" t="str">
        <x:v>VALVE</x:v>
      </x:c>
      <x:c r="M362" t="str">
        <x:v>condenser_fouling</x:v>
      </x:c>
      <x:c r="N362" t="str">
        <x:v>tv no travel</x:v>
      </x:c>
      <x:c r="O362" t="str">
        <x:v>VALVE</x:v>
      </x:c>
      <x:c r="P362" t="str">
        <x:v>STICK</x:v>
      </x:c>
      <x:c r="Q362" t="str">
        <x:v>N</x:v>
      </x:c>
      <x:c r="R362" t="str">
        <x:v>15.5</x:v>
      </x:c>
      <x:c r="S362" t="str">
        <x:v>14848.96</x:v>
      </x:c>
      <x:c r="T362" t="str">
        <x:v>E-502 not ok after condenser fouling</x:v>
      </x:c>
      <x:c r="U362" t="str">
        <x:v>C shift called for E-502 deethanizer overhead condenser, high ovhd press seen during condenser fouling. Foud tv no travel; cooling valve stuck. History shows same complain last mnth. tightened fittings, leak test ok. unit stable now. notif made by ops, maint attended same shift.</x:v>
      </x:c>
    </x:row>
    <x:row r="363" ht="15" hidden="0" customHeight="1">
      <x:c r="A363" t="str">
        <x:v>10450362</x:v>
      </x:c>
      <x:c r="B363" t="str">
        <x:v>40870362</x:v>
      </x:c>
      <x:c r="C363" t="str">
        <x:v>2022-11-11</x:v>
      </x:c>
      <x:c r="D363" t="str">
        <x:v>2022-11-13</x:v>
      </x:c>
      <x:c r="E363" t="str">
        <x:v>2022-11-13</x:v>
      </x:c>
      <x:c r="F363" t="str">
        <x:v>U400-DEETHANIZER-500</x:v>
      </x:c>
      <x:c r="G363" t="str">
        <x:v>E-502</x:v>
      </x:c>
      <x:c r="H363" t="str">
        <x:v>deethanizer overhead condenser</x:v>
      </x:c>
      <x:c r="I363" t="str">
        <x:v>condenser</x:v>
      </x:c>
      <x:c r="J363" t="str">
        <x:v>P2</x:v>
      </x:c>
      <x:c r="K363" t="str">
        <x:v>COMP</x:v>
      </x:c>
      <x:c r="L363" t="str">
        <x:v>OPS+MECH</x:v>
      </x:c>
      <x:c r="M363" t="str">
        <x:v>pressure_control_fault</x:v>
      </x:c>
      <x:c r="N363" t="str">
        <x:v>tv no travel</x:v>
      </x:c>
      <x:c r="O363" t="str">
        <x:v>VALVE</x:v>
      </x:c>
      <x:c r="P363" t="str">
        <x:v>STICK</x:v>
      </x:c>
      <x:c r="Q363" t="str">
        <x:v>N</x:v>
      </x:c>
      <x:c r="R363" t="str">
        <x:v>12.9</x:v>
      </x:c>
      <x:c r="S363" t="str">
        <x:v>7203.61</x:v>
      </x:c>
      <x:c r="T363" t="str">
        <x:v>E-502 not ok after pressure control fault</x:v>
      </x:c>
      <x:c r="U363" t="str">
        <x:v>A shift called for E-502 deethanizer overhead condenser, pshh close call seen during pressure control fault. Foud tv no travel; cooling valve stuck. Could not get permit first time waiting area gas test. replaced positioner tubing and retuned small. unit stable now. notif made by ops, maint attended same shift.</x:v>
      </x:c>
    </x:row>
    <x:row r="364" ht="15" hidden="0" customHeight="1">
      <x:c r="A364" t="str">
        <x:v>10450363</x:v>
      </x:c>
      <x:c r="B364" t="str">
        <x:v>40870363</x:v>
      </x:c>
      <x:c r="C364" t="str">
        <x:v>2022-11-12</x:v>
      </x:c>
      <x:c r="D364" t="str">
        <x:v>2022-11-12</x:v>
      </x:c>
      <x:c r="E364" t="str">
        <x:v>2022-11-13</x:v>
      </x:c>
      <x:c r="F364" t="str">
        <x:v>U400-DEETHANIZER-500</x:v>
      </x:c>
      <x:c r="G364" t="str">
        <x:v>LV-502</x:v>
      </x:c>
      <x:c r="H364" t="str">
        <x:v>bottoms level valve</x:v>
      </x:c>
      <x:c r="I364" t="str">
        <x:v>control_valve</x:v>
      </x:c>
      <x:c r="J364" t="str">
        <x:v>P2</x:v>
      </x:c>
      <x:c r="K364" t="str">
        <x:v>TECO</x:v>
      </x:c>
      <x:c r="L364" t="str">
        <x:v>VALVE</x:v>
      </x:c>
      <x:c r="M364" t="str">
        <x:v>valve_stiction</x:v>
      </x:c>
      <x:c r="N364" t="str">
        <x:v>air leak</x:v>
      </x:c>
      <x:c r="O364" t="str">
        <x:v>AIR_LEAK</x:v>
      </x:c>
      <x:c r="P364" t="str">
        <x:v>TUBING</x:v>
      </x:c>
      <x:c r="Q364" t="str">
        <x:v>N</x:v>
      </x:c>
      <x:c r="R364" t="str">
        <x:v>13.6</x:v>
      </x:c>
      <x:c r="S364" t="str">
        <x:v>6251.84</x:v>
      </x:c>
      <x:c r="T364" t="str">
        <x:v>LV-502 op jumps, air leak</x:v>
      </x:c>
      <x:c r="U364" t="str">
        <x:v>B shift called for LV-502 bottoms level vavle, op jumps seen during vavle stiction. Foud air leak; positioner supply drop. changed gasket and boxed up. unit stable now. notif made by ops, maint attended same shift.</x:v>
      </x:c>
    </x:row>
    <x:row r="365" ht="15" hidden="0" customHeight="1">
      <x:c r="A365" t="str">
        <x:v>10450364</x:v>
      </x:c>
      <x:c r="B365" t="str">
        <x:v>40870364</x:v>
      </x:c>
      <x:c r="C365" t="str">
        <x:v>2022-11-13</x:v>
      </x:c>
      <x:c r="D365" t="str">
        <x:v>2022-11-15</x:v>
      </x:c>
      <x:c r="E365" t="str">
        <x:v>2022-11-18</x:v>
      </x:c>
      <x:c r="F365" t="str">
        <x:v>U400-DEETHANIZER-500</x:v>
      </x:c>
      <x:c r="G365" t="str">
        <x:v>LV-502</x:v>
      </x:c>
      <x:c r="H365" t="str">
        <x:v>bottoms level valve</x:v>
      </x:c>
      <x:c r="I365" t="str">
        <x:v>control_valve</x:v>
      </x:c>
      <x:c r="J365" t="str">
        <x:v>P3</x:v>
      </x:c>
      <x:c r="K365" t="str">
        <x:v>COMP</x:v>
      </x:c>
      <x:c r="L365" t="str">
        <x:v>ANLYZR</x:v>
      </x:c>
      <x:c r="M365" t="str">
        <x:v>valve_stiction</x:v>
      </x:c>
      <x:c r="N365" t="str">
        <x:v>stiction</x:v>
      </x:c>
      <x:c r="O365" t="str">
        <x:v>STICK</x:v>
      </x:c>
      <x:c r="P365" t="str">
        <x:v>PACKING</x:v>
      </x:c>
      <x:c r="Q365" t="str">
        <x:v>N</x:v>
      </x:c>
      <x:c r="R365" t="str">
        <x:v>7.8</x:v>
      </x:c>
      <x:c r="S365" t="str">
        <x:v>4543.69</x:v>
      </x:c>
      <x:c r="T365" t="str">
        <x:v>chk LV-502 - stiction frm ops</x:v>
      </x:c>
      <x:c r="U365" t="str">
        <x:v>days called for LV-502 bottoms level valve, position bad seen during valve stiction. Foud stiction; stem sticky and pos err. stroke tested, response better. temp repair only, plan shutdown job. notif made by ops, maint attended same shift.</x:v>
      </x:c>
    </x:row>
    <x:row r="366" ht="15" hidden="0" customHeight="1">
      <x:c r="A366" t="str">
        <x:v>10450365</x:v>
      </x:c>
      <x:c r="B366" t="str">
        <x:v>40870365</x:v>
      </x:c>
      <x:c r="C366" t="str">
        <x:v>2022-11-16</x:v>
      </x:c>
      <x:c r="D366" t="str">
        <x:v>2022-11-16</x:v>
      </x:c>
      <x:c r="E366" t="str">
        <x:v>2022-11-17</x:v>
      </x:c>
      <x:c r="F366" t="str">
        <x:v>U400-DEETHANIZER-500</x:v>
      </x:c>
      <x:c r="G366" t="str">
        <x:v>PV-501</x:v>
      </x:c>
      <x:c r="H366" t="str">
        <x:v>column pressure control valve</x:v>
      </x:c>
      <x:c r="I366" t="str">
        <x:v>control_valve</x:v>
      </x:c>
      <x:c r="J366" t="str">
        <x:v>P2</x:v>
      </x:c>
      <x:c r="K366" t="str">
        <x:v>TECO</x:v>
      </x:c>
      <x:c r="L366" t="str">
        <x:v>VALVE</x:v>
      </x:c>
      <x:c r="M366" t="str">
        <x:v>condenser_fouling</x:v>
      </x:c>
      <x:c r="N366" t="str">
        <x:v>air leak</x:v>
      </x:c>
      <x:c r="O366" t="str">
        <x:v>AIR_LEAK</x:v>
      </x:c>
      <x:c r="P366" t="str">
        <x:v>TUBING</x:v>
      </x:c>
      <x:c r="Q366" t="str">
        <x:v>N</x:v>
      </x:c>
      <x:c r="R366" t="str">
        <x:v>6.8</x:v>
      </x:c>
      <x:c r="S366" t="str">
        <x:v>2181.08</x:v>
      </x:c>
      <x:c r="T366" t="str">
        <x:v>PV-501 air leak noisy</x:v>
      </x:c>
      <x:c r="U366" t="str">
        <x:v>B shift called for PV-501 column pressure control valve, cw dt low seen during condnsr fouling. Foud air leak; positioner supply drop. Could not get permit first time waiting area gas test. cleaned and put back online. need watch next feed swing. notif made by ops, maint attended same shift.</x:v>
      </x:c>
    </x:row>
    <x:row r="367" ht="15" hidden="0" customHeight="1">
      <x:c r="A367" t="str">
        <x:v>10450366</x:v>
      </x:c>
      <x:c r="B367" t="str">
        <x:v>40870366</x:v>
      </x:c>
      <x:c r="C367" t="str">
        <x:v>2022-11-16</x:v>
      </x:c>
      <x:c r="D367" t="str">
        <x:v>2022-11-16</x:v>
      </x:c>
      <x:c r="E367" t="str">
        <x:v>2022-11-17</x:v>
      </x:c>
      <x:c r="F367" t="str">
        <x:v>U400-DEETHANIZER-500</x:v>
      </x:c>
      <x:c r="G367" t="str">
        <x:v>TT-501B</x:v>
      </x:c>
      <x:c r="H367" t="str">
        <x:v>sensitive tray temperature tx</x:v>
      </x:c>
      <x:c r="I367" t="str">
        <x:v>instrument</x:v>
      </x:c>
      <x:c r="J367" t="str">
        <x:v>P4</x:v>
      </x:c>
      <x:c r="K367" t="str">
        <x:v>CLSD</x:v>
      </x:c>
      <x:c r="L367" t="str">
        <x:v>OPS+INST</x:v>
      </x:c>
      <x:c r="M367" t="str">
        <x:v>feed_temperature_ramp</x:v>
      </x:c>
      <x:c r="N367" t="str">
        <x:v>no signal</x:v>
      </x:c>
      <x:c r="O367" t="str">
        <x:v>NO_SIGNAL</x:v>
      </x:c>
      <x:c r="P367" t="str">
        <x:v>ELEC</x:v>
      </x:c>
      <x:c r="Q367" t="str">
        <x:v>N</x:v>
      </x:c>
      <x:c r="R367" t="str">
        <x:v>5.3</x:v>
      </x:c>
      <x:c r="S367" t="str">
        <x:v>1636.13</x:v>
      </x:c>
      <x:c r="T367" t="str">
        <x:v>TT-501B no signal bad</x:v>
      </x:c>
      <x:c r="U367" t="str">
        <x:v>night called for TT-501B sensitive tray temp tx, ovhd press moving seen during feed temp ramp. Foud no signal; 24v or card issue. reset trip and monitored for 2 hrs. temp repair only, plan shutdown job. notif made by ops, maint attended same shift.</x:v>
      </x:c>
    </x:row>
    <x:row r="368" ht="15" hidden="0" customHeight="1">
      <x:c r="A368" t="str">
        <x:v>10450367</x:v>
      </x:c>
      <x:c r="B368" t="str">
        <x:v>40870367</x:v>
      </x:c>
      <x:c r="C368" t="str">
        <x:v>2022-11-17</x:v>
      </x:c>
      <x:c r="D368" t="str">
        <x:v>2022-11-17</x:v>
      </x:c>
      <x:c r="E368" t="str">
        <x:v>2022-11-18</x:v>
      </x:c>
      <x:c r="F368" t="str">
        <x:v>U400-DEETHANIZER-500</x:v>
      </x:c>
      <x:c r="G368" t="str">
        <x:v>FV-502</x:v>
      </x:c>
      <x:c r="H368" t="str">
        <x:v>reflux flow control valve</x:v>
      </x:c>
      <x:c r="I368" t="str">
        <x:v>control_valve</x:v>
      </x:c>
      <x:c r="J368" t="str">
        <x:v>P2</x:v>
      </x:c>
      <x:c r="K368" t="str">
        <x:v>TECO</x:v>
      </x:c>
      <x:c r="L368" t="str">
        <x:v>VALVE</x:v>
      </x:c>
      <x:c r="M368" t="str">
        <x:v>valve_stiction</x:v>
      </x:c>
      <x:c r="N368" t="str">
        <x:v>stiction</x:v>
      </x:c>
      <x:c r="O368" t="str">
        <x:v>STICK</x:v>
      </x:c>
      <x:c r="P368" t="str">
        <x:v>PACKING</x:v>
      </x:c>
      <x:c r="Q368" t="str">
        <x:v>Y</x:v>
      </x:c>
      <x:c r="R368" t="str">
        <x:v>17.3</x:v>
      </x:c>
      <x:c r="S368" t="str">
        <x:v>3068.27</x:v>
      </x:c>
      <x:c r="T368" t="str">
        <x:v>FV-502 stiction temp fix</x:v>
      </x:c>
      <x:c r="U368" t="str">
        <x:v>A shift called for FV-502 reflux flow ctrl valve, op jumps seen during valve stiction. Foud stiction; stem sticky and pos err. Line was hot so job done slow and with ops standing by. cleaned and put back online. need watch next feed swing. notif made by ops, maint attended same shift.</x:v>
      </x:c>
    </x:row>
    <x:row r="369" ht="15" hidden="0" customHeight="1">
      <x:c r="A369" t="str">
        <x:v>10450368</x:v>
      </x:c>
      <x:c r="B369" t="str">
        <x:v>40870368</x:v>
      </x:c>
      <x:c r="C369" t="str">
        <x:v>2022-11-18</x:v>
      </x:c>
      <x:c r="D369" t="str">
        <x:v>2022-11-18</x:v>
      </x:c>
      <x:c r="E369" t="str">
        <x:v>2022-11-18</x:v>
      </x:c>
      <x:c r="F369" t="str">
        <x:v>U400-DEETHANIZER-500</x:v>
      </x:c>
      <x:c r="G369" t="str">
        <x:v>E-502</x:v>
      </x:c>
      <x:c r="H369" t="str">
        <x:v>deethanizer overhead condenser</x:v>
      </x:c>
      <x:c r="I369" t="str">
        <x:v>condenser</x:v>
      </x:c>
      <x:c r="J369" t="str">
        <x:v>P2</x:v>
      </x:c>
      <x:c r="K369" t="str">
        <x:v>CLSD</x:v>
      </x:c>
      <x:c r="L369" t="str">
        <x:v>OPS+INST</x:v>
      </x:c>
      <x:c r="M369" t="str">
        <x:v>feed_flow_step</x:v>
      </x:c>
      <x:c r="N369" t="str">
        <x:v>high press</x:v>
      </x:c>
      <x:c r="O369" t="str">
        <x:v>PERF</x:v>
      </x:c>
      <x:c r="P369" t="str">
        <x:v>FOUL</x:v>
      </x:c>
      <x:c r="Q369" t="str">
        <x:v>N</x:v>
      </x:c>
      <x:c r="R369" t="str">
        <x:v>4.3</x:v>
      </x:c>
      <x:c r="S369" t="str">
        <x:v>15369.72</x:v>
      </x:c>
      <x:c r="T369" t="str">
        <x:v>chk E-502 - high press frm ops</x:v>
      </x:c>
      <x:c r="U369" t="str">
        <x:v>days called for E-502 deethanizer overhead condenser, column dp high seen during feed flow step. Foud high press; condensing duty poor. History shows same complain last mnth. reset trip and monitored for 2 hrs. still little hunting but acceptable. notif made by ops, maint attended same shift.</x:v>
      </x:c>
    </x:row>
    <x:row r="370" ht="15" hidden="0" customHeight="1">
      <x:c r="A370" t="str">
        <x:v>10450369</x:v>
      </x:c>
      <x:c r="B370" t="str">
        <x:v>40870369</x:v>
      </x:c>
      <x:c r="C370" t="str">
        <x:v>2022-11-25</x:v>
      </x:c>
      <x:c r="D370" t="str">
        <x:v>2022-11-25</x:v>
      </x:c>
      <x:c r="E370" t="str">
        <x:v>2022-11-30</x:v>
      </x:c>
      <x:c r="F370" t="str">
        <x:v>U400-DEETHANIZER-500</x:v>
      </x:c>
      <x:c r="G370" t="str">
        <x:v>PSV-501A</x:v>
      </x:c>
      <x:c r="H370" t="str">
        <x:v>column relief valve A</x:v>
      </x:c>
      <x:c r="I370" t="str">
        <x:v>relief</x:v>
      </x:c>
      <x:c r="J370" t="str">
        <x:v>P3</x:v>
      </x:c>
      <x:c r="K370" t="str">
        <x:v>COMP</x:v>
      </x:c>
      <x:c r="L370" t="str">
        <x:v>MECH</x:v>
      </x:c>
      <x:c r="M370" t="str">
        <x:v>pressure_control_fault</x:v>
      </x:c>
      <x:c r="N370" t="str">
        <x:v>due to lift chk</x:v>
      </x:c>
      <x:c r="O370" t="str">
        <x:v>LIFT_EVENT</x:v>
      </x:c>
      <x:c r="P370" t="str">
        <x:v>PROCESS</x:v>
      </x:c>
      <x:c r="Q370" t="str">
        <x:v>N</x:v>
      </x:c>
      <x:c r="R370" t="str">
        <x:v>14.4</x:v>
      </x:c>
      <x:c r="S370" t="str">
        <x:v>6164.13</x:v>
      </x:c>
      <x:c r="T370" t="str">
        <x:v>PSV-501A due to lift chk again, prod upset</x:v>
      </x:c>
      <x:c r="U370" t="str">
        <x:v>days called for PSV-501A column relief vavle A, flare vavle checked seen during pressure control fault. Foud due to lift chk; after pressure excursion. Tag plate dirty, confirmd by line up with panel. reset trip and monitored for 2 hrs. unit stable now. notif made by ops, maint attended same shift.</x:v>
      </x:c>
    </x:row>
    <x:row r="371" ht="15" hidden="0" customHeight="1">
      <x:c r="A371" t="str">
        <x:v>10450370</x:v>
      </x:c>
      <x:c r="B371" t="str">
        <x:v>40870370</x:v>
      </x:c>
      <x:c r="C371" t="str">
        <x:v>2022-11-21</x:v>
      </x:c>
      <x:c r="D371" t="str">
        <x:v>2022-11-21</x:v>
      </x:c>
      <x:c r="E371" t="str">
        <x:v>2022-11-22</x:v>
      </x:c>
      <x:c r="F371" t="str">
        <x:v>U400-DEETHANIZER-500</x:v>
      </x:c>
      <x:c r="G371" t="str">
        <x:v>P-501A</x:v>
      </x:c>
      <x:c r="H371" t="str">
        <x:v>reflux pump A</x:v>
      </x:c>
      <x:c r="I371" t="str">
        <x:v>pump</x:v>
      </x:c>
      <x:c r="J371" t="str">
        <x:v>P1</x:v>
      </x:c>
      <x:c r="K371" t="str">
        <x:v>TECO</x:v>
      </x:c>
      <x:c r="L371" t="str">
        <x:v>ANLYZR</x:v>
      </x:c>
      <x:c r="M371" t="str">
        <x:v>reboiler_duty_loss</x:v>
      </x:c>
      <x:c r="N371" t="str">
        <x:v>vib high</x:v>
      </x:c>
      <x:c r="O371" t="str">
        <x:v>VIB</x:v>
      </x:c>
      <x:c r="P371" t="str">
        <x:v>ALIGN</x:v>
      </x:c>
      <x:c r="Q371" t="str">
        <x:v>N</x:v>
      </x:c>
      <x:c r="R371" t="str">
        <x:v>13.3</x:v>
      </x:c>
      <x:c r="S371" t="str">
        <x:v>11509.36</x:v>
      </x:c>
      <x:c r="T371" t="str">
        <x:v>P-501A tray temp low, vib high</x:v>
      </x:c>
      <x:c r="U371" t="str">
        <x:v>days called for P-501A reflux pump A, low heat seen during reboiler duty loss. Foud vib high; coupling align or cavitation. flushed impulse/sample line. ops says ok for now. notif made by ops, maint attended same shift.</x:v>
      </x:c>
    </x:row>
    <x:row r="372" ht="15" hidden="0" customHeight="1">
      <x:c r="A372" t="str">
        <x:v>10450371</x:v>
      </x:c>
      <x:c r="B372" t="str">
        <x:v>40870371</x:v>
      </x:c>
      <x:c r="C372" t="str">
        <x:v>2022-11-24</x:v>
      </x:c>
      <x:c r="D372" t="str">
        <x:v>2022-11-24</x:v>
      </x:c>
      <x:c r="E372" t="str">
        <x:v>2022-11-24</x:v>
      </x:c>
      <x:c r="F372" t="str">
        <x:v>U400-DEETHANIZER-500</x:v>
      </x:c>
      <x:c r="G372" t="str">
        <x:v>AIT-501</x:v>
      </x:c>
      <x:c r="H372" t="str">
        <x:v>overhead C2 analyzer</x:v>
      </x:c>
      <x:c r="I372" t="str">
        <x:v>analyzer</x:v>
      </x:c>
      <x:c r="J372" t="str">
        <x:v>P3</x:v>
      </x:c>
      <x:c r="K372" t="str">
        <x:v>TECO</x:v>
      </x:c>
      <x:c r="L372" t="str">
        <x:v>OPS+INST</x:v>
      </x:c>
      <x:c r="M372" t="str">
        <x:v>condenser_fouling</x:v>
      </x:c>
      <x:c r="N372" t="str">
        <x:v>bad gc cycle</x:v>
      </x:c>
      <x:c r="O372" t="str">
        <x:v>NO_ANALYSIS</x:v>
      </x:c>
      <x:c r="P372" t="str">
        <x:v>ELEC</x:v>
      </x:c>
      <x:c r="Q372" t="str">
        <x:v>N</x:v>
      </x:c>
      <x:c r="R372" t="str">
        <x:v>4.6</x:v>
      </x:c>
      <x:c r="S372" t="str">
        <x:v>1378.49</x:v>
      </x:c>
      <x:c r="T372" t="str">
        <x:v>chk AIT-501 - bad gc cycle frm ops</x:v>
      </x:c>
      <x:c r="U372" t="str">
        <x:v>A shift called for AIT-501 overhead C2 analyzer, pic wide open seen during condenser fouling. Foud bad gc cycle; cycle abort. cleaned and put back online. ops says ok for now. notif made by ops, maint attended same shift.</x:v>
      </x:c>
    </x:row>
    <x:row r="373" ht="15" hidden="0" customHeight="1">
      <x:c r="A373" t="str">
        <x:v>10450372</x:v>
      </x:c>
      <x:c r="B373" t="str">
        <x:v>40870372</x:v>
      </x:c>
      <x:c r="C373" t="str">
        <x:v>2022-11-29</x:v>
      </x:c>
      <x:c r="D373" t="str">
        <x:v>2022-11-29</x:v>
      </x:c>
      <x:c r="E373" t="str">
        <x:v>2022-11-30</x:v>
      </x:c>
      <x:c r="F373" t="str">
        <x:v>U400-DEETHANIZER-500</x:v>
      </x:c>
      <x:c r="G373" t="str">
        <x:v>E-503</x:v>
      </x:c>
      <x:c r="H373" t="str">
        <x:v>feed bottoms exchanger</x:v>
      </x:c>
      <x:c r="I373" t="str">
        <x:v>exchanger</x:v>
      </x:c>
      <x:c r="J373" t="str">
        <x:v>P2</x:v>
      </x:c>
      <x:c r="K373" t="str">
        <x:v>COMP</x:v>
      </x:c>
      <x:c r="L373" t="str">
        <x:v>OPS+MECH</x:v>
      </x:c>
      <x:c r="M373" t="str">
        <x:v>feed_temperature_ramp</x:v>
      </x:c>
      <x:c r="N373" t="str">
        <x:v>plugged pass</x:v>
      </x:c>
      <x:c r="O373" t="str">
        <x:v>PLUG</x:v>
      </x:c>
      <x:c r="P373" t="str">
        <x:v>FOUL</x:v>
      </x:c>
      <x:c r="Q373" t="str">
        <x:v>Y</x:v>
      </x:c>
      <x:c r="R373" t="str">
        <x:v>23.3</x:v>
      </x:c>
      <x:c r="S373" t="str">
        <x:v>15155.11</x:v>
      </x:c>
      <x:c r="T373" t="str">
        <x:v>E-503 plugged pass again, prod upset</x:v>
      </x:c>
      <x:c r="U373" t="str">
        <x:v>night called for E-503 feed bottoms exchanger, feed temp high seen during feed temperature ramp. Foud plugged pass; flow restricted. Line was hot so job done slow and with ops standing by. stroke tested, response better. still little hunting but acceptable. notif made by ops, maint attended same shift.</x:v>
      </x:c>
    </x:row>
    <x:row r="374" ht="15" hidden="0" customHeight="1">
      <x:c r="A374" t="str">
        <x:v>10450373</x:v>
      </x:c>
      <x:c r="B374" t="str">
        <x:v>40870373</x:v>
      </x:c>
      <x:c r="C374" t="str">
        <x:v>2022-12-01</x:v>
      </x:c>
      <x:c r="D374" t="str">
        <x:v>2022-12-03</x:v>
      </x:c>
      <x:c r="E374" t="str">
        <x:v>2022-12-04</x:v>
      </x:c>
      <x:c r="F374" t="str">
        <x:v>U400-DEETHANIZER-500</x:v>
      </x:c>
      <x:c r="G374" t="str">
        <x:v>TT-501B</x:v>
      </x:c>
      <x:c r="H374" t="str">
        <x:v>sensitive tray temperature tx</x:v>
      </x:c>
      <x:c r="I374" t="str">
        <x:v>instrument</x:v>
      </x:c>
      <x:c r="J374" t="str">
        <x:v>P3</x:v>
      </x:c>
      <x:c r="K374" t="str">
        <x:v>COMP</x:v>
      </x:c>
      <x:c r="L374" t="str">
        <x:v>OPS+INST</x:v>
      </x:c>
      <x:c r="M374" t="str">
        <x:v>feed_temperature_ramp</x:v>
      </x:c>
      <x:c r="N374" t="str">
        <x:v>no signal</x:v>
      </x:c>
      <x:c r="O374" t="str">
        <x:v>NO_SIGNAL</x:v>
      </x:c>
      <x:c r="P374" t="str">
        <x:v>ELEC</x:v>
      </x:c>
      <x:c r="Q374" t="str">
        <x:v>N</x:v>
      </x:c>
      <x:c r="R374" t="str">
        <x:v>9.9</x:v>
      </x:c>
      <x:c r="S374" t="str">
        <x:v>5173.87</x:v>
      </x:c>
      <x:c r="T374" t="str">
        <x:v>TT-501B spec off, no signal</x:v>
      </x:c>
      <x:c r="U374" t="str">
        <x:v>B shift called for TT-501B sensitive tray temperature tx, ovhd press moving seen during feed temperature ramp. Foud no signal; 24v or card issue. History shows same complain last mnth. tightened fittings, leak test ok. unit stable now. notif made by ops, maint attended same shift.</x:v>
      </x:c>
    </x:row>
    <x:row r="375" ht="15" hidden="0" customHeight="1">
      <x:c r="A375" t="str">
        <x:v>10450374</x:v>
      </x:c>
      <x:c r="B375" t="str">
        <x:v>40870374</x:v>
      </x:c>
      <x:c r="C375" t="str">
        <x:v>2022-11-30</x:v>
      </x:c>
      <x:c r="D375" t="str">
        <x:v>2022-12-01</x:v>
      </x:c>
      <x:c r="E375" t="str">
        <x:v>2022-12-04</x:v>
      </x:c>
      <x:c r="F375" t="str">
        <x:v>U400-DEETHANIZER-500</x:v>
      </x:c>
      <x:c r="G375" t="str">
        <x:v>E-503</x:v>
      </x:c>
      <x:c r="H375" t="str">
        <x:v>feed bottoms exchanger</x:v>
      </x:c>
      <x:c r="I375" t="str">
        <x:v>exchanger</x:v>
      </x:c>
      <x:c r="J375" t="str">
        <x:v>P3</x:v>
      </x:c>
      <x:c r="K375" t="str">
        <x:v>COMP</x:v>
      </x:c>
      <x:c r="L375" t="str">
        <x:v>ANLYZR</x:v>
      </x:c>
      <x:c r="M375" t="str">
        <x:v>feed_flow_step</x:v>
      </x:c>
      <x:c r="N375" t="str">
        <x:v>plugged pass</x:v>
      </x:c>
      <x:c r="O375" t="str">
        <x:v>PLUG</x:v>
      </x:c>
      <x:c r="P375" t="str">
        <x:v>FOUL</x:v>
      </x:c>
      <x:c r="Q375" t="str">
        <x:v>N</x:v>
      </x:c>
      <x:c r="R375" t="str">
        <x:v>7.0</x:v>
      </x:c>
      <x:c r="S375" t="str">
        <x:v>1703.74</x:v>
      </x:c>
      <x:c r="T375" t="str">
        <x:v>E-503 column dp high, plugged pass</x:v>
      </x:c>
      <x:c r="U375" t="str">
        <x:v>A shift called for E-503 feed bottoms exchanger, feed jump seen during feed flow step. Foud plugged pass; flow restricted. Could not get permit first time waiting area gas test. opened strainer, cleaned black sludge. still little hunting but acceptable. notif made by ops, maint attended same shift.</x:v>
      </x:c>
    </x:row>
    <x:row r="376" ht="15" hidden="0" customHeight="1">
      <x:c r="A376" t="str">
        <x:v>10450375</x:v>
      </x:c>
      <x:c r="B376" t="str">
        <x:v>40870375</x:v>
      </x:c>
      <x:c r="C376" t="str">
        <x:v>2022-12-04</x:v>
      </x:c>
      <x:c r="D376" t="str">
        <x:v>2022-12-04</x:v>
      </x:c>
      <x:c r="E376" t="str">
        <x:v>2022-12-05</x:v>
      </x:c>
      <x:c r="F376" t="str">
        <x:v>U400-DEETHANIZER-500</x:v>
      </x:c>
      <x:c r="G376" t="str">
        <x:v>V-501</x:v>
      </x:c>
      <x:c r="H376" t="str">
        <x:v>deethanizer reflux drum</x:v>
      </x:c>
      <x:c r="I376" t="str">
        <x:v>vessel</x:v>
      </x:c>
      <x:c r="J376" t="str">
        <x:v>P3</x:v>
      </x:c>
      <x:c r="K376" t="str">
        <x:v>CLSD</x:v>
      </x:c>
      <x:c r="L376" t="str">
        <x:v>MECH</x:v>
      </x:c>
      <x:c r="M376" t="str">
        <x:v>reboiler_duty_loss</x:v>
      </x:c>
      <x:c r="N376" t="str">
        <x:v>level swing</x:v>
      </x:c>
      <x:c r="O376" t="str">
        <x:v>LVL_SWING</x:v>
      </x:c>
      <x:c r="P376" t="str">
        <x:v>CTRL</x:v>
      </x:c>
      <x:c r="Q376" t="str">
        <x:v>N</x:v>
      </x:c>
      <x:c r="R376" t="str">
        <x:v>15.2</x:v>
      </x:c>
      <x:c r="S376" t="str">
        <x:v>3570.37</x:v>
      </x:c>
      <x:c r="T376" t="str">
        <x:v>chk V-501 - level swing frm ops</x:v>
      </x:c>
      <x:c r="U376" t="str">
        <x:v>B shift called for V-501 deethanizer reflux drum, rb circ cold seen during reboiler duty loss. Foud level swing; lt/lic problem. Tag plate dirty, confirmd by line up with panel. tightened fittings, leak test ok. still little hunting but acceptable. notif made by ops, maint attended same shift.</x:v>
      </x:c>
    </x:row>
    <x:row r="377" ht="15" hidden="0" customHeight="1">
      <x:c r="A377" t="str">
        <x:v>10450376</x:v>
      </x:c>
      <x:c r="B377" t="str">
        <x:v>40870376</x:v>
      </x:c>
      <x:c r="C377" t="str">
        <x:v>2022-12-05</x:v>
      </x:c>
      <x:c r="D377" t="str">
        <x:v>2022-12-06</x:v>
      </x:c>
      <x:c r="E377" t="str">
        <x:v>2022-12-07</x:v>
      </x:c>
      <x:c r="F377" t="str">
        <x:v>U400-DEETHANIZER-500</x:v>
      </x:c>
      <x:c r="G377" t="str">
        <x:v>TT-503</x:v>
      </x:c>
      <x:c r="H377" t="str">
        <x:v>reboiler outlet temperature tx</x:v>
      </x:c>
      <x:c r="I377" t="str">
        <x:v>instrument</x:v>
      </x:c>
      <x:c r="J377" t="str">
        <x:v>P2</x:v>
      </x:c>
      <x:c r="K377" t="str">
        <x:v>CLSD</x:v>
      </x:c>
      <x:c r="L377" t="str">
        <x:v>OPS+INST</x:v>
      </x:c>
      <x:c r="M377" t="str">
        <x:v>reboiler_duty_loss</x:v>
      </x:c>
      <x:c r="N377" t="str">
        <x:v>impulse plugged</x:v>
      </x:c>
      <x:c r="O377" t="str">
        <x:v>PLUG</x:v>
      </x:c>
      <x:c r="P377" t="str">
        <x:v>PROCESS</x:v>
      </x:c>
      <x:c r="Q377" t="str">
        <x:v>N</x:v>
      </x:c>
      <x:c r="R377" t="str">
        <x:v>2.6</x:v>
      </x:c>
      <x:c r="S377" t="str">
        <x:v>474.45</x:v>
      </x:c>
      <x:c r="T377" t="str">
        <x:v>TT-503 impulse plugged pls chk</x:v>
      </x:c>
      <x:c r="U377" t="str">
        <x:v>night called for TT-503 reboiler outlet temp tx, rb circ cold seen during reboiler duty loss. Foud impulse plugged; tap/line dirty. tightened fittings, leak test ok. readng close to dcs after job. notif made by ops, maint attended same shift.</x:v>
      </x:c>
    </x:row>
    <x:row r="378" ht="15" hidden="0" customHeight="1">
      <x:c r="A378" t="str">
        <x:v>10450377</x:v>
      </x:c>
      <x:c r="B378" t="str">
        <x:v>40870377</x:v>
      </x:c>
      <x:c r="C378" t="str">
        <x:v>2022-12-02</x:v>
      </x:c>
      <x:c r="D378" t="str">
        <x:v>2022-12-03</x:v>
      </x:c>
      <x:c r="E378" t="str">
        <x:v>2022-12-04</x:v>
      </x:c>
      <x:c r="F378" t="str">
        <x:v>U400-DEETHANIZER-500</x:v>
      </x:c>
      <x:c r="G378" t="str">
        <x:v>TT-503</x:v>
      </x:c>
      <x:c r="H378" t="str">
        <x:v>reboiler outlet temperature tx</x:v>
      </x:c>
      <x:c r="I378" t="str">
        <x:v>instrument</x:v>
      </x:c>
      <x:c r="J378" t="str">
        <x:v>P2</x:v>
      </x:c>
      <x:c r="K378" t="str">
        <x:v>TECO</x:v>
      </x:c>
      <x:c r="L378" t="str">
        <x:v>E&amp;I</x:v>
      </x:c>
      <x:c r="M378" t="str">
        <x:v>reboiler_duty_loss</x:v>
      </x:c>
      <x:c r="N378" t="str">
        <x:v>loose wire</x:v>
      </x:c>
      <x:c r="O378" t="str">
        <x:v>SIGNAL</x:v>
      </x:c>
      <x:c r="P378" t="str">
        <x:v>ELEC</x:v>
      </x:c>
      <x:c r="Q378" t="str">
        <x:v>N</x:v>
      </x:c>
      <x:c r="R378" t="str">
        <x:v>7.9</x:v>
      </x:c>
      <x:c r="S378" t="str">
        <x:v>3301.02</x:v>
      </x:c>
      <x:c r="T378" t="str">
        <x:v>TT-503 low heat, loose wire</x:v>
      </x:c>
      <x:c r="U378" t="str">
        <x:v>night called for TT-503 rebiler outlet temperature tx, steam/hm valve no resp seen during rebiler duty loss. Foud loose wire; term loose. tightened fittings, leak test ok. ops says ok for now. notif made by ops, maint attended same shift.</x:v>
      </x:c>
    </x:row>
    <x:row r="379" ht="15" hidden="0" customHeight="1">
      <x:c r="A379" t="str">
        <x:v>10450378</x:v>
      </x:c>
      <x:c r="B379" t="str">
        <x:v>40870378</x:v>
      </x:c>
      <x:c r="C379" t="str">
        <x:v>2022-12-05</x:v>
      </x:c>
      <x:c r="D379" t="str">
        <x:v>2022-12-05</x:v>
      </x:c>
      <x:c r="E379" t="str">
        <x:v>2022-12-10</x:v>
      </x:c>
      <x:c r="F379" t="str">
        <x:v>U400-DEETHANIZER-500</x:v>
      </x:c>
      <x:c r="G379" t="str">
        <x:v>FT-502</x:v>
      </x:c>
      <x:c r="H379" t="str">
        <x:v>reflux flow transmitter</x:v>
      </x:c>
      <x:c r="I379" t="str">
        <x:v>instrument</x:v>
      </x:c>
      <x:c r="J379" t="str">
        <x:v>P3</x:v>
      </x:c>
      <x:c r="K379" t="str">
        <x:v>TECO</x:v>
      </x:c>
      <x:c r="L379" t="str">
        <x:v>ANLYZR</x:v>
      </x:c>
      <x:c r="M379" t="str">
        <x:v>reflux_pump_degradation</x:v>
      </x:c>
      <x:c r="N379" t="str">
        <x:v>no signal</x:v>
      </x:c>
      <x:c r="O379" t="str">
        <x:v>NO_SIGNAL</x:v>
      </x:c>
      <x:c r="P379" t="str">
        <x:v>ELEC</x:v>
      </x:c>
      <x:c r="Q379" t="str">
        <x:v>N</x:v>
      </x:c>
      <x:c r="R379" t="str">
        <x:v>8.3</x:v>
      </x:c>
      <x:c r="S379" t="str">
        <x:v>5651.71</x:v>
      </x:c>
      <x:c r="T379" t="str">
        <x:v>chk FT-502 - no signal frm ops</x:v>
      </x:c>
      <x:c r="U379" t="str">
        <x:v>A shift called for FT-502 reflux flow transmitter, seal weep seen during reflux pump degradation. Foud no signal; 24v or card issue. cleaned and put back online. need watch next feed swing. notif made by ops, maint attended same shift.</x:v>
      </x:c>
    </x:row>
    <x:row r="380" ht="15" hidden="0" customHeight="1">
      <x:c r="A380" t="str">
        <x:v>10450379</x:v>
      </x:c>
      <x:c r="B380" t="str">
        <x:v>40870379</x:v>
      </x:c>
      <x:c r="C380" t="str">
        <x:v>2022-12-07</x:v>
      </x:c>
      <x:c r="D380" t="str">
        <x:v>2022-12-08</x:v>
      </x:c>
      <x:c r="E380" t="str">
        <x:v>2022-12-09</x:v>
      </x:c>
      <x:c r="F380" t="str">
        <x:v>U400-DEETHANIZER-500</x:v>
      </x:c>
      <x:c r="G380" t="str">
        <x:v>TV-501</x:v>
      </x:c>
      <x:c r="H380" t="str">
        <x:v>reboiler hot medium valve</x:v>
      </x:c>
      <x:c r="I380" t="str">
        <x:v>control_valve</x:v>
      </x:c>
      <x:c r="J380" t="str">
        <x:v>P2</x:v>
      </x:c>
      <x:c r="K380" t="str">
        <x:v>CLSD</x:v>
      </x:c>
      <x:c r="L380" t="str">
        <x:v>ANLYZR</x:v>
      </x:c>
      <x:c r="M380" t="str">
        <x:v>reboiler_duty_loss</x:v>
      </x:c>
      <x:c r="N380" t="str">
        <x:v>hunting loop</x:v>
      </x:c>
      <x:c r="O380" t="str">
        <x:v>CTRL_OSC</x:v>
      </x:c>
      <x:c r="P380" t="str">
        <x:v>TUNE</x:v>
      </x:c>
      <x:c r="Q380" t="str">
        <x:v>N</x:v>
      </x:c>
      <x:c r="R380" t="str">
        <x:v>2.2</x:v>
      </x:c>
      <x:c r="S380" t="str">
        <x:v>3166.81</x:v>
      </x:c>
      <x:c r="T380" t="str">
        <x:v>TV-501 steam/hm vavle no resp, hunting loop</x:v>
      </x:c>
      <x:c r="U380" t="str">
        <x:v>A shift called for TV-501 reboiler hot medium valve, steam/hm valve no resp seen during reboiler duty loss. Foud hunting loop; bad response after upset. No spare in store at first, used refurb one from shop. opened strainer, cleaned black sludge. temp repair only, plan shutdown job. notif made by ops, maint attended same shift.</x:v>
      </x:c>
    </x:row>
    <x:row r="381" ht="15" hidden="0" customHeight="1">
      <x:c r="A381" t="str">
        <x:v>10450380</x:v>
      </x:c>
      <x:c r="B381" t="str">
        <x:v>40870380</x:v>
      </x:c>
      <x:c r="C381" t="str">
        <x:v>2022-12-06</x:v>
      </x:c>
      <x:c r="D381" t="str">
        <x:v>2022-12-06</x:v>
      </x:c>
      <x:c r="E381" t="str">
        <x:v>2022-12-06</x:v>
      </x:c>
      <x:c r="F381" t="str">
        <x:v>U400-DEETHANIZER-500</x:v>
      </x:c>
      <x:c r="G381" t="str">
        <x:v>LV-501</x:v>
      </x:c>
      <x:c r="H381" t="str">
        <x:v>reflux drum level valve</x:v>
      </x:c>
      <x:c r="I381" t="str">
        <x:v>control_valve</x:v>
      </x:c>
      <x:c r="J381" t="str">
        <x:v>P2</x:v>
      </x:c>
      <x:c r="K381" t="str">
        <x:v>TECO</x:v>
      </x:c>
      <x:c r="L381" t="str">
        <x:v>OPS+INST</x:v>
      </x:c>
      <x:c r="M381" t="str">
        <x:v>reboiler_duty_loss</x:v>
      </x:c>
      <x:c r="N381" t="str">
        <x:v>air leak</x:v>
      </x:c>
      <x:c r="O381" t="str">
        <x:v>AIR_LEAK</x:v>
      </x:c>
      <x:c r="P381" t="str">
        <x:v>TUBING</x:v>
      </x:c>
      <x:c r="Q381" t="str">
        <x:v>Y</x:v>
      </x:c>
      <x:c r="R381" t="str">
        <x:v>22.1</x:v>
      </x:c>
      <x:c r="S381" t="str">
        <x:v>1985.68</x:v>
      </x:c>
      <x:c r="T381" t="str">
        <x:v>chk LV-501 - air leak frm ops</x:v>
      </x:c>
      <x:c r="U381" t="str">
        <x:v>A shift called for LV-501 reflux drum level valve, tray temp low seen during rebiler duty loss. Foud air leak; positioner supply drop. stroke tested, response better. unit stable now. notif made by ops, maint attended same shift.</x:v>
      </x:c>
    </x:row>
    <x:row r="382" ht="15" hidden="0" customHeight="1">
      <x:c r="A382" t="str">
        <x:v>10450381</x:v>
      </x:c>
      <x:c r="B382" t="str">
        <x:v>40870381</x:v>
      </x:c>
      <x:c r="C382" t="str">
        <x:v>2022-12-09</x:v>
      </x:c>
      <x:c r="D382" t="str">
        <x:v>2022-12-09</x:v>
      </x:c>
      <x:c r="E382" t="str">
        <x:v>2022-12-16</x:v>
      </x:c>
      <x:c r="F382" t="str">
        <x:v>U400-DEETHANIZER-500</x:v>
      </x:c>
      <x:c r="G382" t="str">
        <x:v>PSV-501B</x:v>
      </x:c>
      <x:c r="H382" t="str">
        <x:v>column relief valve B</x:v>
      </x:c>
      <x:c r="I382" t="str">
        <x:v>relief</x:v>
      </x:c>
      <x:c r="J382" t="str">
        <x:v>P3</x:v>
      </x:c>
      <x:c r="K382" t="str">
        <x:v>TECO</x:v>
      </x:c>
      <x:c r="L382" t="str">
        <x:v>INST</x:v>
      </x:c>
      <x:c r="M382" t="str">
        <x:v>pressure_control_fault</x:v>
      </x:c>
      <x:c r="N382" t="str">
        <x:v>due to lift chk</x:v>
      </x:c>
      <x:c r="O382" t="str">
        <x:v>LIFT_EVENT</x:v>
      </x:c>
      <x:c r="P382" t="str">
        <x:v>PROCESS</x:v>
      </x:c>
      <x:c r="Q382" t="str">
        <x:v>N</x:v>
      </x:c>
      <x:c r="R382" t="str">
        <x:v>15.0</x:v>
      </x:c>
      <x:c r="S382" t="str">
        <x:v>1458.05</x:v>
      </x:c>
      <x:c r="T382" t="str">
        <x:v>PSV-501B pshh close call, due to lift chk</x:v>
      </x:c>
      <x:c r="U382" t="str">
        <x:v>days called for PSV-501B column relief valve B, pic unstable seen during pressure control fault. Foud due to lift chk; after pressure excursion. No spare in store at first, used refurb one from shop. changed gasket and boxed up. temp repair only, plan shutdown job. notif made by ops, maint attended same shift.</x:v>
      </x:c>
    </x:row>
    <x:row r="383" ht="15" hidden="0" customHeight="1">
      <x:c r="A383" t="str">
        <x:v>10450382</x:v>
      </x:c>
      <x:c r="B383" t="str">
        <x:v>40870382</x:v>
      </x:c>
      <x:c r="C383" t="str">
        <x:v>2022-12-11</x:v>
      </x:c>
      <x:c r="D383" t="str">
        <x:v>2022-12-11</x:v>
      </x:c>
      <x:c r="E383" t="str">
        <x:v>2022-12-16</x:v>
      </x:c>
      <x:c r="F383" t="str">
        <x:v>U400-DEETHANIZER-500</x:v>
      </x:c>
      <x:c r="G383" t="str">
        <x:v>PSV-501B</x:v>
      </x:c>
      <x:c r="H383" t="str">
        <x:v>column relief valve B</x:v>
      </x:c>
      <x:c r="I383" t="str">
        <x:v>relief</x:v>
      </x:c>
      <x:c r="J383" t="str">
        <x:v>P1</x:v>
      </x:c>
      <x:c r="K383" t="str">
        <x:v>TECO</x:v>
      </x:c>
      <x:c r="L383" t="str">
        <x:v>ROT</x:v>
      </x:c>
      <x:c r="M383" t="str">
        <x:v>pressure_control_fault</x:v>
      </x:c>
      <x:c r="N383" t="str">
        <x:v>due to lift chk</x:v>
      </x:c>
      <x:c r="O383" t="str">
        <x:v>LIFT_EVENT</x:v>
      </x:c>
      <x:c r="P383" t="str">
        <x:v>PROCESS</x:v>
      </x:c>
      <x:c r="Q383" t="str">
        <x:v>N</x:v>
      </x:c>
      <x:c r="R383" t="str">
        <x:v>13.1</x:v>
      </x:c>
      <x:c r="S383" t="str">
        <x:v>858.23</x:v>
      </x:c>
      <x:c r="T383" t="str">
        <x:v>chk PSV-501B - due to lift chk frm ops</x:v>
      </x:c>
      <x:c r="U383" t="str">
        <x:v>days called for PSV-501B column relief valve B, press spike seen during pressure control fault. Foud due to lift chk; after pressure excursion. stroke tested, response better. need watch next feed swing. notif made by ops, maint attended same shift.</x:v>
      </x:c>
    </x:row>
    <x:row r="384" ht="15" hidden="0" customHeight="1">
      <x:c r="A384" t="str">
        <x:v>10450383</x:v>
      </x:c>
      <x:c r="B384" t="str">
        <x:v>40870383</x:v>
      </x:c>
      <x:c r="C384" t="str">
        <x:v>2022-12-11</x:v>
      </x:c>
      <x:c r="D384" t="str">
        <x:v>2022-12-11</x:v>
      </x:c>
      <x:c r="E384" t="str">
        <x:v>2022-12-12</x:v>
      </x:c>
      <x:c r="F384" t="str">
        <x:v>U400-DEETHANIZER-500</x:v>
      </x:c>
      <x:c r="G384" t="str">
        <x:v>TV-501</x:v>
      </x:c>
      <x:c r="H384" t="str">
        <x:v>reboiler hot medium valve</x:v>
      </x:c>
      <x:c r="I384" t="str">
        <x:v>control_valve</x:v>
      </x:c>
      <x:c r="J384" t="str">
        <x:v>P3</x:v>
      </x:c>
      <x:c r="K384" t="str">
        <x:v>COMP</x:v>
      </x:c>
      <x:c r="L384" t="str">
        <x:v>ROT</x:v>
      </x:c>
      <x:c r="M384" t="str">
        <x:v>feed_temperature_ramp</x:v>
      </x:c>
      <x:c r="N384" t="str">
        <x:v>air leak</x:v>
      </x:c>
      <x:c r="O384" t="str">
        <x:v>AIR_LEAK</x:v>
      </x:c>
      <x:c r="P384" t="str">
        <x:v>TUBING</x:v>
      </x:c>
      <x:c r="Q384" t="str">
        <x:v>N</x:v>
      </x:c>
      <x:c r="R384" t="str">
        <x:v>12.2</x:v>
      </x:c>
      <x:c r="S384" t="str">
        <x:v>4327.51</x:v>
      </x:c>
      <x:c r="T384" t="str">
        <x:v>TV-501 not ok after feed temperature ramp</x:v>
      </x:c>
      <x:c r="U384" t="str">
        <x:v>days called for TV-501 reboiler hot medium valve, spec off seen during feed temperature ramp. Foud air leak; positioner supply drop. cleaned and put back online. readng close to dcs after job. notif made by ops, maint attended same shift.</x:v>
      </x:c>
    </x:row>
    <x:row r="385" ht="15" hidden="0" customHeight="1">
      <x:c r="A385" t="str">
        <x:v>10450384</x:v>
      </x:c>
      <x:c r="B385" t="str">
        <x:v>40870384</x:v>
      </x:c>
      <x:c r="C385" t="str">
        <x:v>2022-12-17</x:v>
      </x:c>
      <x:c r="D385" t="str">
        <x:v>2022-12-18</x:v>
      </x:c>
      <x:c r="E385" t="str">
        <x:v>2022-12-21</x:v>
      </x:c>
      <x:c r="F385" t="str">
        <x:v>U400-DEETHANIZER-500</x:v>
      </x:c>
      <x:c r="G385" t="str">
        <x:v>P-501A</x:v>
      </x:c>
      <x:c r="H385" t="str">
        <x:v>reflux pump A</x:v>
      </x:c>
      <x:c r="I385" t="str">
        <x:v>pump</x:v>
      </x:c>
      <x:c r="J385" t="str">
        <x:v>P4</x:v>
      </x:c>
      <x:c r="K385" t="str">
        <x:v>CLSD</x:v>
      </x:c>
      <x:c r="L385" t="str">
        <x:v>OPS+MECH</x:v>
      </x:c>
      <x:c r="M385" t="str">
        <x:v>reflux_pump_degradation</x:v>
      </x:c>
      <x:c r="N385" t="str">
        <x:v>vib high</x:v>
      </x:c>
      <x:c r="O385" t="str">
        <x:v>VIB</x:v>
      </x:c>
      <x:c r="P385" t="str">
        <x:v>ALIGN</x:v>
      </x:c>
      <x:c r="Q385" t="str">
        <x:v>N</x:v>
      </x:c>
      <x:c r="R385" t="str">
        <x:v>17.4</x:v>
      </x:c>
      <x:c r="S385" t="str">
        <x:v>8247.79</x:v>
      </x:c>
      <x:c r="T385" t="str">
        <x:v>P-501A vib high again, prod upset</x:v>
      </x:c>
      <x:c r="U385" t="str">
        <x:v>B shift called for P-501A reflux pump A, seal weep seen during reflux pump degradation. Foud vib high; coupling align or cavitation. Could not get permit first time waiting area gas test. calibrated, loop checked with CCR. no leak at handover. notif made by ops, maint attended same shift.</x:v>
      </x:c>
    </x:row>
    <x:row r="386" ht="15" hidden="0" customHeight="1">
      <x:c r="A386" t="str">
        <x:v>10450385</x:v>
      </x:c>
      <x:c r="B386" t="str">
        <x:v>40870385</x:v>
      </x:c>
      <x:c r="C386" t="str">
        <x:v>2022-12-16</x:v>
      </x:c>
      <x:c r="D386" t="str">
        <x:v>2022-12-18</x:v>
      </x:c>
      <x:c r="E386" t="str">
        <x:v>2022-12-19</x:v>
      </x:c>
      <x:c r="F386" t="str">
        <x:v>U400-DEETHANIZER-500</x:v>
      </x:c>
      <x:c r="G386" t="str">
        <x:v>FT-502</x:v>
      </x:c>
      <x:c r="H386" t="str">
        <x:v>reflux flow transmitter</x:v>
      </x:c>
      <x:c r="I386" t="str">
        <x:v>instrument</x:v>
      </x:c>
      <x:c r="J386" t="str">
        <x:v>P4</x:v>
      </x:c>
      <x:c r="K386" t="str">
        <x:v>TECO</x:v>
      </x:c>
      <x:c r="L386" t="str">
        <x:v>E&amp;I</x:v>
      </x:c>
      <x:c r="M386" t="str">
        <x:v>reflux_pump_degradation</x:v>
      </x:c>
      <x:c r="N386" t="str">
        <x:v>no signal</x:v>
      </x:c>
      <x:c r="O386" t="str">
        <x:v>NO_SIGNAL</x:v>
      </x:c>
      <x:c r="P386" t="str">
        <x:v>ELEC</x:v>
      </x:c>
      <x:c r="Q386" t="str">
        <x:v>N</x:v>
      </x:c>
      <x:c r="R386" t="str">
        <x:v>13.4</x:v>
      </x:c>
      <x:c r="S386" t="str">
        <x:v>3222.54</x:v>
      </x:c>
      <x:c r="T386" t="str">
        <x:v>FT-502 no signal again, prod upset</x:v>
      </x:c>
      <x:c r="U386" t="str">
        <x:v>A shift called for FT-502 reflux flow transmitter, min flow hot seen during reflux pump degradation. Foud no signal; 24v or card issue. reset trip and monitored for 2 hrs. temp repair only, plan shutdown job. notif made by ops, maint attended same shift.</x:v>
      </x:c>
    </x:row>
    <x:row r="387" ht="15" hidden="0" customHeight="1">
      <x:c r="A387" t="str">
        <x:v>10450386</x:v>
      </x:c>
      <x:c r="B387" t="str">
        <x:v>40870386</x:v>
      </x:c>
      <x:c r="C387" t="str">
        <x:v>2022-12-16</x:v>
      </x:c>
      <x:c r="D387" t="str">
        <x:v>2022-12-16</x:v>
      </x:c>
      <x:c r="E387" t="str">
        <x:v>2022-12-17</x:v>
      </x:c>
      <x:c r="F387" t="str">
        <x:v>U400-DEETHANIZER-500</x:v>
      </x:c>
      <x:c r="G387" t="str">
        <x:v>TV-502</x:v>
      </x:c>
      <x:c r="H387" t="str">
        <x:v>condenser cooling valve</x:v>
      </x:c>
      <x:c r="I387" t="str">
        <x:v>control_valve</x:v>
      </x:c>
      <x:c r="J387" t="str">
        <x:v>P4</x:v>
      </x:c>
      <x:c r="K387" t="str">
        <x:v>CLSD</x:v>
      </x:c>
      <x:c r="L387" t="str">
        <x:v>OPS+MECH</x:v>
      </x:c>
      <x:c r="M387" t="str">
        <x:v>condenser_fouling</x:v>
      </x:c>
      <x:c r="N387" t="str">
        <x:v>stiction</x:v>
      </x:c>
      <x:c r="O387" t="str">
        <x:v>STICK</x:v>
      </x:c>
      <x:c r="P387" t="str">
        <x:v>PACKING</x:v>
      </x:c>
      <x:c r="Q387" t="str">
        <x:v>N</x:v>
      </x:c>
      <x:c r="R387" t="str">
        <x:v>2.2</x:v>
      </x:c>
      <x:c r="S387" t="str">
        <x:v>1442.18</x:v>
      </x:c>
      <x:c r="T387" t="str">
        <x:v>TV-502 stiction asap</x:v>
      </x:c>
      <x:c r="U387" t="str">
        <x:v>A shift called for TV-502 condenser cooling valve, cond not pullng seen during condenser fouling. Foud stiction; stem sticky and pos err. History shows same complain last mnth. replaced positioner tubing and retuned small. unit stable now. notif made by ops, maint attended same shift.</x:v>
      </x:c>
    </x:row>
    <x:row r="388" ht="15" hidden="0" customHeight="1">
      <x:c r="A388" t="str">
        <x:v>10450387</x:v>
      </x:c>
      <x:c r="B388" t="str">
        <x:v>40870387</x:v>
      </x:c>
      <x:c r="C388" t="str">
        <x:v>2022-12-19</x:v>
      </x:c>
      <x:c r="D388" t="str">
        <x:v>2022-12-20</x:v>
      </x:c>
      <x:c r="E388" t="str">
        <x:v>2022-12-25</x:v>
      </x:c>
      <x:c r="F388" t="str">
        <x:v>U400-DEETHANIZER-500</x:v>
      </x:c>
      <x:c r="G388" t="str">
        <x:v>FV-501</x:v>
      </x:c>
      <x:c r="H388" t="str">
        <x:v>feed flow control valve</x:v>
      </x:c>
      <x:c r="I388" t="str">
        <x:v>control_valve</x:v>
      </x:c>
      <x:c r="J388" t="str">
        <x:v>P3</x:v>
      </x:c>
      <x:c r="K388" t="str">
        <x:v>CLSD</x:v>
      </x:c>
      <x:c r="L388" t="str">
        <x:v>VALVE</x:v>
      </x:c>
      <x:c r="M388" t="str">
        <x:v>valve_stiction</x:v>
      </x:c>
      <x:c r="N388" t="str">
        <x:v>stiction</x:v>
      </x:c>
      <x:c r="O388" t="str">
        <x:v>STICK</x:v>
      </x:c>
      <x:c r="P388" t="str">
        <x:v>PACKING</x:v>
      </x:c>
      <x:c r="Q388" t="str">
        <x:v>N</x:v>
      </x:c>
      <x:c r="R388" t="str">
        <x:v>15.0</x:v>
      </x:c>
      <x:c r="S388" t="str">
        <x:v>1188.35</x:v>
      </x:c>
      <x:c r="T388" t="str">
        <x:v>FV-501 not ok after valve stiction</x:v>
      </x:c>
      <x:c r="U388" t="str">
        <x:v>C shift called for FV-501 feed flow ctrl valve, position bad seen during valve stiction. Foud stiction; stem sticky and pos err. opened strainer, cleaned black sludge. temp repair only, plan shutdown job. notif made by ops, maint attended same shift.</x:v>
      </x:c>
    </x:row>
    <x:row r="389" ht="15" hidden="0" customHeight="1">
      <x:c r="A389" t="str">
        <x:v>10450388</x:v>
      </x:c>
      <x:c r="B389" t="str">
        <x:v>40870388</x:v>
      </x:c>
      <x:c r="C389" t="str">
        <x:v>2022-12-19</x:v>
      </x:c>
      <x:c r="D389" t="str">
        <x:v>2022-12-19</x:v>
      </x:c>
      <x:c r="E389" t="str">
        <x:v>2022-12-21</x:v>
      </x:c>
      <x:c r="F389" t="str">
        <x:v>U400-DEETHANIZER-500</x:v>
      </x:c>
      <x:c r="G389" t="str">
        <x:v>E-501</x:v>
      </x:c>
      <x:c r="H389" t="str">
        <x:v>deethanizer reboiler</x:v>
      </x:c>
      <x:c r="I389" t="str">
        <x:v>reboiler</x:v>
      </x:c>
      <x:c r="J389" t="str">
        <x:v>P2</x:v>
      </x:c>
      <x:c r="K389" t="str">
        <x:v>COMP</x:v>
      </x:c>
      <x:c r="L389" t="str">
        <x:v>E&amp;I</x:v>
      </x:c>
      <x:c r="M389" t="str">
        <x:v>reboiler_duty_loss</x:v>
      </x:c>
      <x:c r="N389" t="str">
        <x:v>circ poor</x:v>
      </x:c>
      <x:c r="O389" t="str">
        <x:v>NO_FLOW</x:v>
      </x:c>
      <x:c r="P389" t="str">
        <x:v>PLUG</x:v>
      </x:c>
      <x:c r="Q389" t="str">
        <x:v>N</x:v>
      </x:c>
      <x:c r="R389" t="str">
        <x:v>4.0</x:v>
      </x:c>
      <x:c r="S389" t="str">
        <x:v>10538.27</x:v>
      </x:c>
      <x:c r="T389" t="str">
        <x:v>E-501 steam/hm valve no resp, circ poor</x:v>
      </x:c>
      <x:c r="U389" t="str">
        <x:v>days called for E-501 deethanizer reboiler, rb circ cold seen during reboiler duty loss. Foud circ poor; blocked inlet screen. changed gasket and boxed up. temp repair only, plan shutdown job. notif made by ops, maint attended same shift.</x:v>
      </x:c>
    </x:row>
    <x:row r="390" ht="15" hidden="0" customHeight="1">
      <x:c r="A390" t="str">
        <x:v>10450389</x:v>
      </x:c>
      <x:c r="B390" t="str">
        <x:v>40870389</x:v>
      </x:c>
      <x:c r="C390" t="str">
        <x:v>2022-12-24</x:v>
      </x:c>
      <x:c r="D390" t="str">
        <x:v>2022-12-24</x:v>
      </x:c>
      <x:c r="E390" t="str">
        <x:v>2022-12-25</x:v>
      </x:c>
      <x:c r="F390" t="str">
        <x:v>U400-DEETHANIZER-500</x:v>
      </x:c>
      <x:c r="G390" t="str">
        <x:v>PT-501</x:v>
      </x:c>
      <x:c r="H390" t="str">
        <x:v>column overhead pressure tx</x:v>
      </x:c>
      <x:c r="I390" t="str">
        <x:v>instrument</x:v>
      </x:c>
      <x:c r="J390" t="str">
        <x:v>P3</x:v>
      </x:c>
      <x:c r="K390" t="str">
        <x:v>TECO</x:v>
      </x:c>
      <x:c r="L390" t="str">
        <x:v>E&amp;I</x:v>
      </x:c>
      <x:c r="M390" t="str">
        <x:v>condenser_fouling</x:v>
      </x:c>
      <x:c r="N390" t="str">
        <x:v>no signal</x:v>
      </x:c>
      <x:c r="O390" t="str">
        <x:v>NO_SIGNAL</x:v>
      </x:c>
      <x:c r="P390" t="str">
        <x:v>ELEC</x:v>
      </x:c>
      <x:c r="Q390" t="str">
        <x:v>N</x:v>
      </x:c>
      <x:c r="R390" t="str">
        <x:v>12.1</x:v>
      </x:c>
      <x:c r="S390" t="str">
        <x:v>2177.2</x:v>
      </x:c>
      <x:c r="T390" t="str">
        <x:v>PT-501 no signal again</x:v>
      </x:c>
      <x:c r="U390" t="str">
        <x:v>days called for PT-501 column overhead pressure tx, high ovhd press seen during condenser fouling. Foud no signal; 24v or card issue. stroke tested, response better. readng close to dcs after job. notif made by ops, maint attended same shift.</x:v>
      </x:c>
    </x:row>
    <x:row r="391" ht="15" hidden="0" customHeight="1">
      <x:c r="A391" t="str">
        <x:v>10450390</x:v>
      </x:c>
      <x:c r="B391" t="str">
        <x:v>40870390</x:v>
      </x:c>
      <x:c r="C391" t="str">
        <x:v>2022-12-21</x:v>
      </x:c>
      <x:c r="D391" t="str">
        <x:v>2022-12-22</x:v>
      </x:c>
      <x:c r="E391" t="str">
        <x:v>2022-12-22</x:v>
      </x:c>
      <x:c r="F391" t="str">
        <x:v>U400-DEETHANIZER-500</x:v>
      </x:c>
      <x:c r="G391" t="str">
        <x:v>E-502</x:v>
      </x:c>
      <x:c r="H391" t="str">
        <x:v>deethanizer overhead condenser</x:v>
      </x:c>
      <x:c r="I391" t="str">
        <x:v>condenser</x:v>
      </x:c>
      <x:c r="J391" t="str">
        <x:v>P2</x:v>
      </x:c>
      <x:c r="K391" t="str">
        <x:v>CLSD</x:v>
      </x:c>
      <x:c r="L391" t="str">
        <x:v>ROT</x:v>
      </x:c>
      <x:c r="M391" t="str">
        <x:v>condenser_fouling</x:v>
      </x:c>
      <x:c r="N391" t="str">
        <x:v>high press</x:v>
      </x:c>
      <x:c r="O391" t="str">
        <x:v>PERF</x:v>
      </x:c>
      <x:c r="P391" t="str">
        <x:v>FOUL</x:v>
      </x:c>
      <x:c r="Q391" t="str">
        <x:v>Y</x:v>
      </x:c>
      <x:c r="R391" t="str">
        <x:v>17.1</x:v>
      </x:c>
      <x:c r="S391" t="str">
        <x:v>6896.38</x:v>
      </x:c>
      <x:c r="T391" t="str">
        <x:v>chk E-502 - high press frm ops</x:v>
      </x:c>
      <x:c r="U391" t="str">
        <x:v>C shift called for E-502 deethanizer overhead condenser, cond not pullng seen during condenser fouling. Foud high press; condensing duty poor. stroke tested, response better. ops says ok for now. notif made by ops, maint attended same shift.</x:v>
      </x:c>
    </x:row>
    <x:row r="392" ht="15" hidden="0" customHeight="1">
      <x:c r="A392" t="str">
        <x:v>10450391</x:v>
      </x:c>
      <x:c r="B392" t="str">
        <x:v>40870391</x:v>
      </x:c>
      <x:c r="C392" t="str">
        <x:v>2022-12-22</x:v>
      </x:c>
      <x:c r="D392" t="str">
        <x:v>2022-12-24</x:v>
      </x:c>
      <x:c r="E392" t="str">
        <x:v>2022-12-25</x:v>
      </x:c>
      <x:c r="F392" t="str">
        <x:v>U400-DEETHANIZER-500</x:v>
      </x:c>
      <x:c r="G392" t="str">
        <x:v>TT-501B</x:v>
      </x:c>
      <x:c r="H392" t="str">
        <x:v>sensitive tray temperature tx</x:v>
      </x:c>
      <x:c r="I392" t="str">
        <x:v>instrument</x:v>
      </x:c>
      <x:c r="J392" t="str">
        <x:v>P3</x:v>
      </x:c>
      <x:c r="K392" t="str">
        <x:v>TECO</x:v>
      </x:c>
      <x:c r="L392" t="str">
        <x:v>INST</x:v>
      </x:c>
      <x:c r="M392" t="str">
        <x:v>reboiler_duty_loss</x:v>
      </x:c>
      <x:c r="N392" t="str">
        <x:v>no signal</x:v>
      </x:c>
      <x:c r="O392" t="str">
        <x:v>NO_SIGNAL</x:v>
      </x:c>
      <x:c r="P392" t="str">
        <x:v>ELEC</x:v>
      </x:c>
      <x:c r="Q392" t="str">
        <x:v>N</x:v>
      </x:c>
      <x:c r="R392" t="str">
        <x:v>17.1</x:v>
      </x:c>
      <x:c r="S392" t="str">
        <x:v>3692.17</x:v>
      </x:c>
      <x:c r="T392" t="str">
        <x:v>chk TT-501B - no signal frm ops</x:v>
      </x:c>
      <x:c r="U392" t="str">
        <x:v>C shift called for TT-501B sensitive tray temperature tx, rb circ cold seen during rebiler duty loss. Foud no signal; 24v or card issue. swapped to standby and repaired. unit stable now. notif made by ops, maint attended same shift.</x:v>
      </x:c>
    </x:row>
    <x:row r="393" ht="15" hidden="0" customHeight="1">
      <x:c r="A393" t="str">
        <x:v>10450392</x:v>
      </x:c>
      <x:c r="B393" t="str">
        <x:v>40870392</x:v>
      </x:c>
      <x:c r="C393" t="str">
        <x:v>2022-12-23</x:v>
      </x:c>
      <x:c r="D393" t="str">
        <x:v>2022-12-24</x:v>
      </x:c>
      <x:c r="E393" t="str">
        <x:v>2022-12-24</x:v>
      </x:c>
      <x:c r="F393" t="str">
        <x:v>U400-DEETHANIZER-500</x:v>
      </x:c>
      <x:c r="G393" t="str">
        <x:v>FV-501</x:v>
      </x:c>
      <x:c r="H393" t="str">
        <x:v>feed flow control valve</x:v>
      </x:c>
      <x:c r="I393" t="str">
        <x:v>control_valve</x:v>
      </x:c>
      <x:c r="J393" t="str">
        <x:v>P3</x:v>
      </x:c>
      <x:c r="K393" t="str">
        <x:v>CLSD</x:v>
      </x:c>
      <x:c r="L393" t="str">
        <x:v>MECH</x:v>
      </x:c>
      <x:c r="M393" t="str">
        <x:v>normal_wear</x:v>
      </x:c>
      <x:c r="N393" t="str">
        <x:v>not stroking</x:v>
      </x:c>
      <x:c r="O393" t="str">
        <x:v>NO_TRAVEL</x:v>
      </x:c>
      <x:c r="P393" t="str">
        <x:v>ACT</x:v>
      </x:c>
      <x:c r="Q393" t="str">
        <x:v>N</x:v>
      </x:c>
      <x:c r="R393" t="str">
        <x:v>15.6</x:v>
      </x:c>
      <x:c r="S393" t="str">
        <x:v>5092.73</x:v>
      </x:c>
      <x:c r="T393" t="str">
        <x:v>FV-501 not stroking after upset</x:v>
      </x:c>
      <x:c r="U393" t="str">
        <x:v>C shift called for FV-501 feed flow control valve, leak seen during normal wear. Foud not stroking; actuator weak. History shows same complain last mnth. cleaned and put back online. no leak at handover. notif made by ops, maint attended same shift.</x:v>
      </x:c>
    </x:row>
    <x:row r="394" ht="15" hidden="0" customHeight="1">
      <x:c r="A394" t="str">
        <x:v>10450393</x:v>
      </x:c>
      <x:c r="B394" t="str">
        <x:v>40870393</x:v>
      </x:c>
      <x:c r="C394" t="str">
        <x:v>2022-12-29</x:v>
      </x:c>
      <x:c r="D394" t="str">
        <x:v>2022-12-29</x:v>
      </x:c>
      <x:c r="E394" t="str">
        <x:v>2022-12-29</x:v>
      </x:c>
      <x:c r="F394" t="str">
        <x:v>U400-DEETHANIZER-500</x:v>
      </x:c>
      <x:c r="G394" t="str">
        <x:v>E-503</x:v>
      </x:c>
      <x:c r="H394" t="str">
        <x:v>feed bottoms exchanger</x:v>
      </x:c>
      <x:c r="I394" t="str">
        <x:v>exchanger</x:v>
      </x:c>
      <x:c r="J394" t="str">
        <x:v>P3</x:v>
      </x:c>
      <x:c r="K394" t="str">
        <x:v>TECO</x:v>
      </x:c>
      <x:c r="L394" t="str">
        <x:v>MECH</x:v>
      </x:c>
      <x:c r="M394" t="str">
        <x:v>feed_temperature_ramp</x:v>
      </x:c>
      <x:c r="N394" t="str">
        <x:v>temp approach bad</x:v>
      </x:c>
      <x:c r="O394" t="str">
        <x:v>PERF</x:v>
      </x:c>
      <x:c r="P394" t="str">
        <x:v>FOUL</x:v>
      </x:c>
      <x:c r="Q394" t="str">
        <x:v>N</x:v>
      </x:c>
      <x:c r="R394" t="str">
        <x:v>15.1</x:v>
      </x:c>
      <x:c r="S394" t="str">
        <x:v>977.62</x:v>
      </x:c>
      <x:c r="T394" t="str">
        <x:v>E-503 temp approach bad asap</x:v>
      </x:c>
      <x:c r="U394" t="str">
        <x:v>night called for E-503 feed bottoms exchanger, ovhd press moving seen during feed temperature ramp. Foud temp approach bad; heat transfer loss. changed gasket and boxed up. need watch next feed swing. notif made by ops, maint attended same shift.</x:v>
      </x:c>
    </x:row>
    <x:row r="395" ht="15" hidden="0" customHeight="1">
      <x:c r="A395" t="str">
        <x:v>10450394</x:v>
      </x:c>
      <x:c r="B395" t="str">
        <x:v>40870394</x:v>
      </x:c>
      <x:c r="C395" t="str">
        <x:v>2022-12-28</x:v>
      </x:c>
      <x:c r="D395" t="str">
        <x:v>2022-12-29</x:v>
      </x:c>
      <x:c r="E395" t="str">
        <x:v>2022-12-31</x:v>
      </x:c>
      <x:c r="F395" t="str">
        <x:v>U400-DEETHANIZER-500</x:v>
      </x:c>
      <x:c r="G395" t="str">
        <x:v>FV-502</x:v>
      </x:c>
      <x:c r="H395" t="str">
        <x:v>reflux flow control valve</x:v>
      </x:c>
      <x:c r="I395" t="str">
        <x:v>control_valve</x:v>
      </x:c>
      <x:c r="J395" t="str">
        <x:v>P1</x:v>
      </x:c>
      <x:c r="K395" t="str">
        <x:v>TECO</x:v>
      </x:c>
      <x:c r="L395" t="str">
        <x:v>INST</x:v>
      </x:c>
      <x:c r="M395" t="str">
        <x:v>feed_temperature_ramp</x:v>
      </x:c>
      <x:c r="N395" t="str">
        <x:v>hunting loop</x:v>
      </x:c>
      <x:c r="O395" t="str">
        <x:v>CTRL_OSC</x:v>
      </x:c>
      <x:c r="P395" t="str">
        <x:v>TUNE</x:v>
      </x:c>
      <x:c r="Q395" t="str">
        <x:v>N</x:v>
      </x:c>
      <x:c r="R395" t="str">
        <x:v>2.9</x:v>
      </x:c>
      <x:c r="S395" t="str">
        <x:v>419.52</x:v>
      </x:c>
      <x:c r="T395" t="str">
        <x:v>FV-502 not ok after feed temperature ramp</x:v>
      </x:c>
      <x:c r="U395" t="str">
        <x:v>C shift called for FV-502 reflux flow control vavle, tray temp drift seen during feed temperature ramp. Foud hunting loop; bad response after upset. stroke tested, response better. still little hunting but acceptable. notif made by ops, maint attended same shift.</x:v>
      </x:c>
    </x:row>
    <x:row r="396" ht="15" hidden="0" customHeight="1">
      <x:c r="A396" t="str">
        <x:v>10450395</x:v>
      </x:c>
      <x:c r="B396" t="str">
        <x:v>40870395</x:v>
      </x:c>
      <x:c r="C396" t="str">
        <x:v>2022-12-29</x:v>
      </x:c>
      <x:c r="D396" t="str">
        <x:v>2022-12-29</x:v>
      </x:c>
      <x:c r="E396" t="str">
        <x:v>2022-12-31</x:v>
      </x:c>
      <x:c r="F396" t="str">
        <x:v>U400-DEETHANIZER-500</x:v>
      </x:c>
      <x:c r="G396" t="str">
        <x:v>P-501B</x:v>
      </x:c>
      <x:c r="H396" t="str">
        <x:v>reflux pump B</x:v>
      </x:c>
      <x:c r="I396" t="str">
        <x:v>pump</x:v>
      </x:c>
      <x:c r="J396" t="str">
        <x:v>P1</x:v>
      </x:c>
      <x:c r="K396" t="str">
        <x:v>TECO</x:v>
      </x:c>
      <x:c r="L396" t="str">
        <x:v>INST</x:v>
      </x:c>
      <x:c r="M396" t="str">
        <x:v>normal_wear</x:v>
      </x:c>
      <x:c r="N396" t="str">
        <x:v>seal leak</x:v>
      </x:c>
      <x:c r="O396" t="str">
        <x:v>MECH_SEAL</x:v>
      </x:c>
      <x:c r="P396" t="str">
        <x:v>SEAL</x:v>
      </x:c>
      <x:c r="Q396" t="str">
        <x:v>N</x:v>
      </x:c>
      <x:c r="R396" t="str">
        <x:v>14.2</x:v>
      </x:c>
      <x:c r="S396" t="str">
        <x:v>3824.45</x:v>
      </x:c>
      <x:c r="T396" t="str">
        <x:v>P-501B seal leak asap</x:v>
      </x:c>
      <x:c r="U396" t="str">
        <x:v>night called for P-501B reflux pump B, pm foud defect seen during normal wear. Foud seal leak; seal face worn / dry run signs. changed gasket and boxed up. ops says ok for now. notif made by ops, maint attended same shift.</x:v>
      </x:c>
    </x:row>
    <x:row r="397" ht="15" hidden="0" customHeight="1">
      <x:c r="A397" t="str">
        <x:v>10450396</x:v>
      </x:c>
      <x:c r="B397" t="str">
        <x:v>40870396</x:v>
      </x:c>
      <x:c r="C397" t="str">
        <x:v>2023-01-01</x:v>
      </x:c>
      <x:c r="D397" t="str">
        <x:v>2023-01-01</x:v>
      </x:c>
      <x:c r="E397" t="str">
        <x:v>2023-01-04</x:v>
      </x:c>
      <x:c r="F397" t="str">
        <x:v>U400-DEETHANIZER-500</x:v>
      </x:c>
      <x:c r="G397" t="str">
        <x:v>PV-501</x:v>
      </x:c>
      <x:c r="H397" t="str">
        <x:v>column pressure control valve</x:v>
      </x:c>
      <x:c r="I397" t="str">
        <x:v>control_valve</x:v>
      </x:c>
      <x:c r="J397" t="str">
        <x:v>P2</x:v>
      </x:c>
      <x:c r="K397" t="str">
        <x:v>TECO</x:v>
      </x:c>
      <x:c r="L397" t="str">
        <x:v>INST</x:v>
      </x:c>
      <x:c r="M397" t="str">
        <x:v>pressure_control_fault</x:v>
      </x:c>
      <x:c r="N397" t="str">
        <x:v>passing</x:v>
      </x:c>
      <x:c r="O397" t="str">
        <x:v>LEAK_BY</x:v>
      </x:c>
      <x:c r="P397" t="str">
        <x:v>SEAT</x:v>
      </x:c>
      <x:c r="Q397" t="str">
        <x:v>N</x:v>
      </x:c>
      <x:c r="R397" t="str">
        <x:v>16.0</x:v>
      </x:c>
      <x:c r="S397" t="str">
        <x:v>3935.78</x:v>
      </x:c>
      <x:c r="T397" t="str">
        <x:v>PV-501 passing ops req</x:v>
      </x:c>
      <x:c r="U397" t="str">
        <x:v>B shift called for PV-501 column pressure control valve, pshh close call seen during pressure control fault. Foud passing; seat leak by. stroke tested, response better. no leak at handover. notif made by ops, maint attended same shift.</x:v>
      </x:c>
    </x:row>
    <x:row r="398" ht="15" hidden="0" customHeight="1">
      <x:c r="A398" t="str">
        <x:v>10450397</x:v>
      </x:c>
      <x:c r="B398" t="str">
        <x:v>40870397</x:v>
      </x:c>
      <x:c r="C398" t="str">
        <x:v>2023-01-01</x:v>
      </x:c>
      <x:c r="D398" t="str">
        <x:v>2023-01-03</x:v>
      </x:c>
      <x:c r="E398" t="str">
        <x:v>2023-01-08</x:v>
      </x:c>
      <x:c r="F398" t="str">
        <x:v>U400-DEETHANIZER-500</x:v>
      </x:c>
      <x:c r="G398" t="str">
        <x:v>FV-502</x:v>
      </x:c>
      <x:c r="H398" t="str">
        <x:v>reflux flow control valve</x:v>
      </x:c>
      <x:c r="I398" t="str">
        <x:v>control_valve</x:v>
      </x:c>
      <x:c r="J398" t="str">
        <x:v>P3</x:v>
      </x:c>
      <x:c r="K398" t="str">
        <x:v>COMP</x:v>
      </x:c>
      <x:c r="L398" t="str">
        <x:v>INST</x:v>
      </x:c>
      <x:c r="M398" t="str">
        <x:v>reflux_pump_degradation</x:v>
      </x:c>
      <x:c r="N398" t="str">
        <x:v>air leak</x:v>
      </x:c>
      <x:c r="O398" t="str">
        <x:v>AIR_LEAK</x:v>
      </x:c>
      <x:c r="P398" t="str">
        <x:v>TUBING</x:v>
      </x:c>
      <x:c r="Q398" t="str">
        <x:v>N</x:v>
      </x:c>
      <x:c r="R398" t="str">
        <x:v>6.6</x:v>
      </x:c>
      <x:c r="S398" t="str">
        <x:v>559.11</x:v>
      </x:c>
      <x:c r="T398" t="str">
        <x:v>FV-502 not ok after reflux pump degradation</x:v>
      </x:c>
      <x:c r="U398" t="str">
        <x:v>night called for FV-502 reflux flow ctrl valve, low reflux seen during reflux pump degradation. Foud air leak; positioner supply drop. stroke tested, response better. unit stable now. notif made by ops, maint attended same shift.</x:v>
      </x:c>
    </x:row>
    <x:row r="399" ht="15" hidden="0" customHeight="1">
      <x:c r="A399" t="str">
        <x:v>10450398</x:v>
      </x:c>
      <x:c r="B399" t="str">
        <x:v>40870398</x:v>
      </x:c>
      <x:c r="C399" t="str">
        <x:v>2023-01-06</x:v>
      </x:c>
      <x:c r="D399" t="str">
        <x:v>2023-01-06</x:v>
      </x:c>
      <x:c r="E399" t="str">
        <x:v>2023-01-06</x:v>
      </x:c>
      <x:c r="F399" t="str">
        <x:v>U400-DEETHANIZER-500</x:v>
      </x:c>
      <x:c r="G399" t="str">
        <x:v>E-501</x:v>
      </x:c>
      <x:c r="H399" t="str">
        <x:v>deethanizer reboiler</x:v>
      </x:c>
      <x:c r="I399" t="str">
        <x:v>reboiler</x:v>
      </x:c>
      <x:c r="J399" t="str">
        <x:v>P2</x:v>
      </x:c>
      <x:c r="K399" t="str">
        <x:v>TECO</x:v>
      </x:c>
      <x:c r="L399" t="str">
        <x:v>MECH</x:v>
      </x:c>
      <x:c r="M399" t="str">
        <x:v>reboiler_duty_loss</x:v>
      </x:c>
      <x:c r="N399" t="str">
        <x:v>fouled bundle</x:v>
      </x:c>
      <x:c r="O399" t="str">
        <x:v>FOULING</x:v>
      </x:c>
      <x:c r="P399" t="str">
        <x:v>PROCESS</x:v>
      </x:c>
      <x:c r="Q399" t="str">
        <x:v>N</x:v>
      </x:c>
      <x:c r="R399" t="str">
        <x:v>4.4</x:v>
      </x:c>
      <x:c r="S399" t="str">
        <x:v>14877.78</x:v>
      </x:c>
      <x:c r="T399" t="str">
        <x:v>E-501 not ok after reboiler duty loss</x:v>
      </x:c>
      <x:c r="U399" t="str">
        <x:v>days called for E-501 deethanizer reboiler, c2 in btm seen during reboiler duty loss. Foud fouled bundle; bottoms side dirty. No spare in store at first, used refurb one from shop. opened strainer, cleaned black sludge. still little hunting but acceptable. notif made by ops, maint attended same shift.</x:v>
      </x:c>
    </x:row>
    <x:row r="400" ht="15" hidden="0" customHeight="1">
      <x:c r="A400" t="str">
        <x:v>10450399</x:v>
      </x:c>
      <x:c r="B400" t="str">
        <x:v>40870399</x:v>
      </x:c>
      <x:c r="C400" t="str">
        <x:v>2023-01-05</x:v>
      </x:c>
      <x:c r="D400" t="str">
        <x:v>2023-01-07</x:v>
      </x:c>
      <x:c r="E400" t="str">
        <x:v>2023-01-08</x:v>
      </x:c>
      <x:c r="F400" t="str">
        <x:v>U400-DEETHANIZER-500</x:v>
      </x:c>
      <x:c r="G400" t="str">
        <x:v>P-501B</x:v>
      </x:c>
      <x:c r="H400" t="str">
        <x:v>reflux pump B</x:v>
      </x:c>
      <x:c r="I400" t="str">
        <x:v>pump</x:v>
      </x:c>
      <x:c r="J400" t="str">
        <x:v>P3</x:v>
      </x:c>
      <x:c r="K400" t="str">
        <x:v>COMP</x:v>
      </x:c>
      <x:c r="L400" t="str">
        <x:v>E&amp;I</x:v>
      </x:c>
      <x:c r="M400" t="str">
        <x:v>normal_wear</x:v>
      </x:c>
      <x:c r="N400" t="str">
        <x:v>low disch press</x:v>
      </x:c>
      <x:c r="O400" t="str">
        <x:v>HYD_LOSS</x:v>
      </x:c>
      <x:c r="P400" t="str">
        <x:v>FOUL</x:v>
      </x:c>
      <x:c r="Q400" t="str">
        <x:v>N</x:v>
      </x:c>
      <x:c r="R400" t="str">
        <x:v>7.3</x:v>
      </x:c>
      <x:c r="S400" t="str">
        <x:v>15530.78</x:v>
      </x:c>
      <x:c r="T400" t="str">
        <x:v>P-501B pm found defect, low disch press</x:v>
      </x:c>
      <x:c r="U400" t="str">
        <x:v>C shift called for P-501B reflux pump B, noise seen during normal wear. Foud low disch press; strainer dirty or impeller wear. History shows same complain last mnth. stroke tested, response better. ops says ok for now. notif made by ops, maint attended same shift.</x:v>
      </x:c>
    </x:row>
    <x:row r="401" ht="15" hidden="0" customHeight="1">
      <x:c r="A401" t="str">
        <x:v>10450400</x:v>
      </x:c>
      <x:c r="B401" t="str">
        <x:v>40870400</x:v>
      </x:c>
      <x:c r="C401" t="str">
        <x:v>2023-01-09</x:v>
      </x:c>
      <x:c r="D401" t="str">
        <x:v>2023-01-09</x:v>
      </x:c>
      <x:c r="E401" t="str">
        <x:v>2023-01-10</x:v>
      </x:c>
      <x:c r="F401" t="str">
        <x:v>U400-DEETHANIZER-500</x:v>
      </x:c>
      <x:c r="G401" t="str">
        <x:v>T-501</x:v>
      </x:c>
      <x:c r="H401" t="str">
        <x:v>deethanizer column</x:v>
      </x:c>
      <x:c r="I401" t="str">
        <x:v>column</x:v>
      </x:c>
      <x:c r="J401" t="str">
        <x:v>P3</x:v>
      </x:c>
      <x:c r="K401" t="str">
        <x:v>COMP</x:v>
      </x:c>
      <x:c r="L401" t="str">
        <x:v>ROT</x:v>
      </x:c>
      <x:c r="M401" t="str">
        <x:v>feed_flow_step</x:v>
      </x:c>
      <x:c r="N401" t="str">
        <x:v>weeping flange</x:v>
      </x:c>
      <x:c r="O401" t="str">
        <x:v>LEAK</x:v>
      </x:c>
      <x:c r="P401" t="str">
        <x:v>GASKET</x:v>
      </x:c>
      <x:c r="Q401" t="str">
        <x:v>N</x:v>
      </x:c>
      <x:c r="R401" t="str">
        <x:v>14.4</x:v>
      </x:c>
      <x:c r="S401" t="str">
        <x:v>5633.62</x:v>
      </x:c>
      <x:c r="T401" t="str">
        <x:v>T-501 not ok after feed flow step</x:v>
      </x:c>
      <x:c r="U401" t="str">
        <x:v>C shift called for T-501 deethanizer column, lvl swing seen during feed flow step. Foud weeping flange; manway/flange seep. Tag plate dirty, confirmd by line up with panel. calibrated, loop checked with CCR. no leak at handover. notif made by ops, maint attended same shift.</x:v>
      </x:c>
    </x:row>
    <x:row r="402" ht="15" hidden="0" customHeight="1">
      <x:c r="A402" t="str">
        <x:v>10450401</x:v>
      </x:c>
      <x:c r="B402" t="str">
        <x:v>40870401</x:v>
      </x:c>
      <x:c r="C402" t="str">
        <x:v>2023-01-08</x:v>
      </x:c>
      <x:c r="D402" t="str">
        <x:v>2023-01-08</x:v>
      </x:c>
      <x:c r="E402" t="str">
        <x:v>2023-01-15</x:v>
      </x:c>
      <x:c r="F402" t="str">
        <x:v>U400-DEETHANIZER-500</x:v>
      </x:c>
      <x:c r="G402" t="str">
        <x:v>FT-501</x:v>
      </x:c>
      <x:c r="H402" t="str">
        <x:v>feed flow transmitter</x:v>
      </x:c>
      <x:c r="I402" t="str">
        <x:v>instrument</x:v>
      </x:c>
      <x:c r="J402" t="str">
        <x:v>P2</x:v>
      </x:c>
      <x:c r="K402" t="str">
        <x:v>TECO</x:v>
      </x:c>
      <x:c r="L402" t="str">
        <x:v>E&amp;I</x:v>
      </x:c>
      <x:c r="M402" t="str">
        <x:v>feed_flow_step</x:v>
      </x:c>
      <x:c r="N402" t="str">
        <x:v>impulse plugged</x:v>
      </x:c>
      <x:c r="O402" t="str">
        <x:v>PLUG</x:v>
      </x:c>
      <x:c r="P402" t="str">
        <x:v>PROCESS</x:v>
      </x:c>
      <x:c r="Q402" t="str">
        <x:v>N</x:v>
      </x:c>
      <x:c r="R402" t="str">
        <x:v>16.0</x:v>
      </x:c>
      <x:c r="S402" t="str">
        <x:v>5422.0</x:v>
      </x:c>
      <x:c r="T402" t="str">
        <x:v>FT-501 feed jump, impulse plugged</x:v>
      </x:c>
      <x:c r="U402" t="str">
        <x:v>C shift called for FT-501 feed flow transmitter, lvl swing seen during feed flow step. Foud impulse plugged; tap/line dirty. changed gasket and boxed up. readng close to dcs after job. notif made by ops, maint attended same shift.</x:v>
      </x:c>
    </x:row>
    <x:row r="403" ht="15" hidden="0" customHeight="1">
      <x:c r="A403" t="str">
        <x:v>10450402</x:v>
      </x:c>
      <x:c r="B403" t="str">
        <x:v>40870402</x:v>
      </x:c>
      <x:c r="C403" t="str">
        <x:v>2023-01-07</x:v>
      </x:c>
      <x:c r="D403" t="str">
        <x:v>2023-01-08</x:v>
      </x:c>
      <x:c r="E403" t="str">
        <x:v>2023-01-08</x:v>
      </x:c>
      <x:c r="F403" t="str">
        <x:v>U400-DEETHANIZER-500</x:v>
      </x:c>
      <x:c r="G403" t="str">
        <x:v>LV-501</x:v>
      </x:c>
      <x:c r="H403" t="str">
        <x:v>reflux drum level valve</x:v>
      </x:c>
      <x:c r="I403" t="str">
        <x:v>control_valve</x:v>
      </x:c>
      <x:c r="J403" t="str">
        <x:v>P4</x:v>
      </x:c>
      <x:c r="K403" t="str">
        <x:v>CLSD</x:v>
      </x:c>
      <x:c r="L403" t="str">
        <x:v>MECH</x:v>
      </x:c>
      <x:c r="M403" t="str">
        <x:v>condenser_fouling</x:v>
      </x:c>
      <x:c r="N403" t="str">
        <x:v>hunting loop</x:v>
      </x:c>
      <x:c r="O403" t="str">
        <x:v>CTRL_OSC</x:v>
      </x:c>
      <x:c r="P403" t="str">
        <x:v>TUNE</x:v>
      </x:c>
      <x:c r="Q403" t="str">
        <x:v>N</x:v>
      </x:c>
      <x:c r="R403" t="str">
        <x:v>6.2</x:v>
      </x:c>
      <x:c r="S403" t="str">
        <x:v>3477.08</x:v>
      </x:c>
      <x:c r="T403" t="str">
        <x:v>LV-501 hunting loop asap</x:v>
      </x:c>
      <x:c r="U403" t="str">
        <x:v>days called for LV-501 reflux drum level valve, drum temp hi seen during condenser fouling. Foud hunting loop; bad response after upset. Could not get permit first time waiting area gas test. tightened fittings, leak test ok. need watch next feed swing. notif made by ops, maint attended same shift.</x:v>
      </x:c>
    </x:row>
    <x:row r="404" ht="15" hidden="0" customHeight="1">
      <x:c r="A404" t="str">
        <x:v>10450403</x:v>
      </x:c>
      <x:c r="B404" t="str">
        <x:v>40870403</x:v>
      </x:c>
      <x:c r="C404" t="str">
        <x:v>2023-01-09</x:v>
      </x:c>
      <x:c r="D404" t="str">
        <x:v>2023-01-10</x:v>
      </x:c>
      <x:c r="E404" t="str">
        <x:v>2023-01-11</x:v>
      </x:c>
      <x:c r="F404" t="str">
        <x:v>U400-DEETHANIZER-500</x:v>
      </x:c>
      <x:c r="G404" t="str">
        <x:v>E-503</x:v>
      </x:c>
      <x:c r="H404" t="str">
        <x:v>feed bottoms exchanger</x:v>
      </x:c>
      <x:c r="I404" t="str">
        <x:v>exchanger</x:v>
      </x:c>
      <x:c r="J404" t="str">
        <x:v>P1</x:v>
      </x:c>
      <x:c r="K404" t="str">
        <x:v>COMP</x:v>
      </x:c>
      <x:c r="L404" t="str">
        <x:v>MECH</x:v>
      </x:c>
      <x:c r="M404" t="str">
        <x:v>feed_composition_shift</x:v>
      </x:c>
      <x:c r="N404" t="str">
        <x:v>tube fouling</x:v>
      </x:c>
      <x:c r="O404" t="str">
        <x:v>FOULING</x:v>
      </x:c>
      <x:c r="P404" t="str">
        <x:v>PROCESS</x:v>
      </x:c>
      <x:c r="Q404" t="str">
        <x:v>N</x:v>
      </x:c>
      <x:c r="R404" t="str">
        <x:v>15.4</x:v>
      </x:c>
      <x:c r="S404" t="str">
        <x:v>3401.08</x:v>
      </x:c>
      <x:c r="T404" t="str">
        <x:v>chk E-503 - tube fouling frm ops</x:v>
      </x:c>
      <x:c r="U404" t="str">
        <x:v>days called for E-503 feed bottoms exchanger, ovhd c3 slip seen during feed composition shift. Foud tube fouling; duty low, delta t poor. stroke tested, response better. no leak at handover. notif made by ops, maint attended same shift.</x:v>
      </x:c>
    </x:row>
    <x:row r="405" ht="15" hidden="0" customHeight="1">
      <x:c r="A405" t="str">
        <x:v>10450404</x:v>
      </x:c>
      <x:c r="B405" t="str">
        <x:v>40870404</x:v>
      </x:c>
      <x:c r="C405" t="str">
        <x:v>2023-01-11</x:v>
      </x:c>
      <x:c r="D405" t="str">
        <x:v>2023-01-11</x:v>
      </x:c>
      <x:c r="E405" t="str">
        <x:v>2023-01-18</x:v>
      </x:c>
      <x:c r="F405" t="str">
        <x:v>U400-DEETHANIZER-500</x:v>
      </x:c>
      <x:c r="G405" t="str">
        <x:v>E-501</x:v>
      </x:c>
      <x:c r="H405" t="str">
        <x:v>deethanizer reboiler</x:v>
      </x:c>
      <x:c r="I405" t="str">
        <x:v>reboiler</x:v>
      </x:c>
      <x:c r="J405" t="str">
        <x:v>P3</x:v>
      </x:c>
      <x:c r="K405" t="str">
        <x:v>COMP</x:v>
      </x:c>
      <x:c r="L405" t="str">
        <x:v>VALVE</x:v>
      </x:c>
      <x:c r="M405" t="str">
        <x:v>feed_temperature_ramp</x:v>
      </x:c>
      <x:c r="N405" t="str">
        <x:v>rb leak</x:v>
      </x:c>
      <x:c r="O405" t="str">
        <x:v>LEAK</x:v>
      </x:c>
      <x:c r="P405" t="str">
        <x:v>GASKET</x:v>
      </x:c>
      <x:c r="Q405" t="str">
        <x:v>N</x:v>
      </x:c>
      <x:c r="R405" t="str">
        <x:v>16.8</x:v>
      </x:c>
      <x:c r="S405" t="str">
        <x:v>15794.12</x:v>
      </x:c>
      <x:c r="T405" t="str">
        <x:v>E-501 rb leak again, prod upset</x:v>
      </x:c>
      <x:c r="U405" t="str">
        <x:v>days called for E-501 deethanizer reboiler, ovhd press moving seen during feed temperature ramp. Foud rb leak; channel flange weep. swapped to standby and repaired. ops says ok for now. notif made by ops, maint attended same shift.</x:v>
      </x:c>
    </x:row>
    <x:row r="406" ht="15" hidden="0" customHeight="1">
      <x:c r="A406" t="str">
        <x:v>10450405</x:v>
      </x:c>
      <x:c r="B406" t="str">
        <x:v>40870405</x:v>
      </x:c>
      <x:c r="C406" t="str">
        <x:v>2023-01-16</x:v>
      </x:c>
      <x:c r="D406" t="str">
        <x:v>2023-01-17</x:v>
      </x:c>
      <x:c r="E406" t="str">
        <x:v>2023-01-17</x:v>
      </x:c>
      <x:c r="F406" t="str">
        <x:v>U400-DEETHANIZER-500</x:v>
      </x:c>
      <x:c r="G406" t="str">
        <x:v>TT-501B</x:v>
      </x:c>
      <x:c r="H406" t="str">
        <x:v>sensitive tray temperature tx</x:v>
      </x:c>
      <x:c r="I406" t="str">
        <x:v>instrument</x:v>
      </x:c>
      <x:c r="J406" t="str">
        <x:v>P3</x:v>
      </x:c>
      <x:c r="K406" t="str">
        <x:v>COMP</x:v>
      </x:c>
      <x:c r="L406" t="str">
        <x:v>ANLYZR</x:v>
      </x:c>
      <x:c r="M406" t="str">
        <x:v>reboiler_duty_loss</x:v>
      </x:c>
      <x:c r="N406" t="str">
        <x:v>range err</x:v>
      </x:c>
      <x:c r="O406" t="str">
        <x:v>SPAN</x:v>
      </x:c>
      <x:c r="P406" t="str">
        <x:v>CAL</x:v>
      </x:c>
      <x:c r="Q406" t="str">
        <x:v>N</x:v>
      </x:c>
      <x:c r="R406" t="str">
        <x:v>7.9</x:v>
      </x:c>
      <x:c r="S406" t="str">
        <x:v>2200.84</x:v>
      </x:c>
      <x:c r="T406" t="str">
        <x:v>chk TT-501B - range err frm ops</x:v>
      </x:c>
      <x:c r="U406" t="str">
        <x:v>A shift called for TT-501B sensitive tray temperature tx, tray temp low seen during rebiler duty loss. Foud range err; span shifted. Tag plate dirty, confirmd by line up with panel. tightened fittings, leak test ok. ops says ok for now. notif made by ops, maint attended same shift.</x:v>
      </x:c>
    </x:row>
    <x:row r="407" ht="15" hidden="0" customHeight="1">
      <x:c r="A407" t="str">
        <x:v>10450406</x:v>
      </x:c>
      <x:c r="B407" t="str">
        <x:v>40870406</x:v>
      </x:c>
      <x:c r="C407" t="str">
        <x:v>2023-01-15</x:v>
      </x:c>
      <x:c r="D407" t="str">
        <x:v>2023-01-15</x:v>
      </x:c>
      <x:c r="E407" t="str">
        <x:v>2023-01-16</x:v>
      </x:c>
      <x:c r="F407" t="str">
        <x:v>U400-DEETHANIZER-500</x:v>
      </x:c>
      <x:c r="G407" t="str">
        <x:v>P-501A</x:v>
      </x:c>
      <x:c r="H407" t="str">
        <x:v>reflux pump A</x:v>
      </x:c>
      <x:c r="I407" t="str">
        <x:v>pump</x:v>
      </x:c>
      <x:c r="J407" t="str">
        <x:v>P1</x:v>
      </x:c>
      <x:c r="K407" t="str">
        <x:v>CLSD</x:v>
      </x:c>
      <x:c r="L407" t="str">
        <x:v>OPS+MECH</x:v>
      </x:c>
      <x:c r="M407" t="str">
        <x:v>reflux_pump_degradation</x:v>
      </x:c>
      <x:c r="N407" t="str">
        <x:v>motor trip</x:v>
      </x:c>
      <x:c r="O407" t="str">
        <x:v>MOTOR</x:v>
      </x:c>
      <x:c r="P407" t="str">
        <x:v>ELEC</x:v>
      </x:c>
      <x:c r="Q407" t="str">
        <x:v>N</x:v>
      </x:c>
      <x:c r="R407" t="str">
        <x:v>6.0</x:v>
      </x:c>
      <x:c r="S407" t="str">
        <x:v>5907.83</x:v>
      </x:c>
      <x:c r="T407" t="str">
        <x:v>P-501A pump vib, motor trip</x:v>
      </x:c>
      <x:c r="U407" t="str">
        <x:v>B shift called for P-501A reflux pump A, pump vib seen during reflux pump degradation. Foud motor trip; overload trip after upset. changed gasket and boxed up. temp repair only, plan shutdown job. notif made by ops, maint attended same shift.</x:v>
      </x:c>
    </x:row>
    <x:row r="408" ht="15" hidden="0" customHeight="1">
      <x:c r="A408" t="str">
        <x:v>10450407</x:v>
      </x:c>
      <x:c r="B408" t="str">
        <x:v>40870407</x:v>
      </x:c>
      <x:c r="C408" t="str">
        <x:v>2023-01-15</x:v>
      </x:c>
      <x:c r="D408" t="str">
        <x:v>2023-01-17</x:v>
      </x:c>
      <x:c r="E408" t="str">
        <x:v>2023-01-20</x:v>
      </x:c>
      <x:c r="F408" t="str">
        <x:v>U400-DEETHANIZER-500</x:v>
      </x:c>
      <x:c r="G408" t="str">
        <x:v>FT-501</x:v>
      </x:c>
      <x:c r="H408" t="str">
        <x:v>feed flow transmitter</x:v>
      </x:c>
      <x:c r="I408" t="str">
        <x:v>instrument</x:v>
      </x:c>
      <x:c r="J408" t="str">
        <x:v>P1</x:v>
      </x:c>
      <x:c r="K408" t="str">
        <x:v>CLSD</x:v>
      </x:c>
      <x:c r="L408" t="str">
        <x:v>ANLYZR</x:v>
      </x:c>
      <x:c r="M408" t="str">
        <x:v>feed_flow_step</x:v>
      </x:c>
      <x:c r="N408" t="str">
        <x:v>loose wire</x:v>
      </x:c>
      <x:c r="O408" t="str">
        <x:v>SIGNAL</x:v>
      </x:c>
      <x:c r="P408" t="str">
        <x:v>ELEC</x:v>
      </x:c>
      <x:c r="Q408" t="str">
        <x:v>N</x:v>
      </x:c>
      <x:c r="R408" t="str">
        <x:v>6.4</x:v>
      </x:c>
      <x:c r="S408" t="str">
        <x:v>216.91</x:v>
      </x:c>
      <x:c r="T408" t="str">
        <x:v>FT-501 loose wire temp fix</x:v>
      </x:c>
      <x:c r="U408" t="str">
        <x:v>days called for FT-501 feed flow transmitter, lvl swing seen during feed flow step. Foud loose wire; term loose. replaced positioner tubing and retuned small. ops says ok for now. notif made by ops, maint attended same shift.</x:v>
      </x:c>
    </x:row>
    <x:row r="409" ht="15" hidden="0" customHeight="1">
      <x:c r="A409" t="str">
        <x:v>10450408</x:v>
      </x:c>
      <x:c r="B409" t="str">
        <x:v>40870408</x:v>
      </x:c>
      <x:c r="C409" t="str">
        <x:v>2023-01-18</x:v>
      </x:c>
      <x:c r="D409" t="str">
        <x:v>2023-01-18</x:v>
      </x:c>
      <x:c r="E409" t="str">
        <x:v>2023-01-19</x:v>
      </x:c>
      <x:c r="F409" t="str">
        <x:v>U400-DEETHANIZER-500</x:v>
      </x:c>
      <x:c r="G409" t="str">
        <x:v>E-502</x:v>
      </x:c>
      <x:c r="H409" t="str">
        <x:v>deethanizer overhead condenser</x:v>
      </x:c>
      <x:c r="I409" t="str">
        <x:v>condenser</x:v>
      </x:c>
      <x:c r="J409" t="str">
        <x:v>P2</x:v>
      </x:c>
      <x:c r="K409" t="str">
        <x:v>CLSD</x:v>
      </x:c>
      <x:c r="L409" t="str">
        <x:v>ANLYZR</x:v>
      </x:c>
      <x:c r="M409" t="str">
        <x:v>condenser_fouling</x:v>
      </x:c>
      <x:c r="N409" t="str">
        <x:v>cw fouling</x:v>
      </x:c>
      <x:c r="O409" t="str">
        <x:v>FOULING</x:v>
      </x:c>
      <x:c r="P409" t="str">
        <x:v>UTILITY</x:v>
      </x:c>
      <x:c r="Q409" t="str">
        <x:v>N</x:v>
      </x:c>
      <x:c r="R409" t="str">
        <x:v>6.6</x:v>
      </x:c>
      <x:c r="S409" t="str">
        <x:v>16442.66</x:v>
      </x:c>
      <x:c r="T409" t="str">
        <x:v>chk E-502 - cw fouling frm ops</x:v>
      </x:c>
      <x:c r="U409" t="str">
        <x:v>A shift called for E-502 deethanizer overhead condnsr, cw dt low seen during condnsr fouling. Foud cw fouling; cw side scaled. History shows same complain last mnth. flushed impulse/sample line. unit stable now. notif made by ops, maint attended same shift.</x:v>
      </x:c>
    </x:row>
    <x:row r="410" ht="15" hidden="0" customHeight="1">
      <x:c r="A410" t="str">
        <x:v>10450409</x:v>
      </x:c>
      <x:c r="B410" t="str">
        <x:v>40870409</x:v>
      </x:c>
      <x:c r="C410" t="str">
        <x:v>2023-01-17</x:v>
      </x:c>
      <x:c r="D410" t="str">
        <x:v>2023-01-19</x:v>
      </x:c>
      <x:c r="E410" t="str">
        <x:v>2023-01-20</x:v>
      </x:c>
      <x:c r="F410" t="str">
        <x:v>U400-DEETHANIZER-500</x:v>
      </x:c>
      <x:c r="G410" t="str">
        <x:v>E-501</x:v>
      </x:c>
      <x:c r="H410" t="str">
        <x:v>deethanizer reboiler</x:v>
      </x:c>
      <x:c r="I410" t="str">
        <x:v>reboiler</x:v>
      </x:c>
      <x:c r="J410" t="str">
        <x:v>P2</x:v>
      </x:c>
      <x:c r="K410" t="str">
        <x:v>TECO</x:v>
      </x:c>
      <x:c r="L410" t="str">
        <x:v>OPS+MECH</x:v>
      </x:c>
      <x:c r="M410" t="str">
        <x:v>feed_temperature_ramp</x:v>
      </x:c>
      <x:c r="N410" t="str">
        <x:v>low duty</x:v>
      </x:c>
      <x:c r="O410" t="str">
        <x:v>DUTY_LOSS</x:v>
      </x:c>
      <x:c r="P410" t="str">
        <x:v>UTILITY</x:v>
      </x:c>
      <x:c r="Q410" t="str">
        <x:v>Y</x:v>
      </x:c>
      <x:c r="R410" t="str">
        <x:v>17.0</x:v>
      </x:c>
      <x:c r="S410" t="str">
        <x:v>3890.05</x:v>
      </x:c>
      <x:c r="T410" t="str">
        <x:v>E-501 feed temp high, low duty</x:v>
      </x:c>
      <x:c r="U410" t="str">
        <x:v>days called for E-501 deethanizer reboiler, rb duty up seen during feed temperature ramp. Foud low duty; hm valve/strainer issue. stroke tested, response better. temp repair only, plan shutdown job. notif made by ops, maint attended same shift.</x:v>
      </x:c>
    </x:row>
    <x:row r="411" ht="15" hidden="0" customHeight="1">
      <x:c r="A411" t="str">
        <x:v>10450410</x:v>
      </x:c>
      <x:c r="B411" t="str">
        <x:v>40870410</x:v>
      </x:c>
      <x:c r="C411" t="str">
        <x:v>2023-01-19</x:v>
      </x:c>
      <x:c r="D411" t="str">
        <x:v>2023-01-20</x:v>
      </x:c>
      <x:c r="E411" t="str">
        <x:v>2023-01-21</x:v>
      </x:c>
      <x:c r="F411" t="str">
        <x:v>U400-DEETHANIZER-500</x:v>
      </x:c>
      <x:c r="G411" t="str">
        <x:v>P-502A</x:v>
      </x:c>
      <x:c r="H411" t="str">
        <x:v>bottoms pump A</x:v>
      </x:c>
      <x:c r="I411" t="str">
        <x:v>pump</x:v>
      </x:c>
      <x:c r="J411" t="str">
        <x:v>P3</x:v>
      </x:c>
      <x:c r="K411" t="str">
        <x:v>CLSD</x:v>
      </x:c>
      <x:c r="L411" t="str">
        <x:v>VALVE</x:v>
      </x:c>
      <x:c r="M411" t="str">
        <x:v>reboiler_duty_loss</x:v>
      </x:c>
      <x:c r="N411" t="str">
        <x:v>bearing hot</x:v>
      </x:c>
      <x:c r="O411" t="str">
        <x:v>BRG</x:v>
      </x:c>
      <x:c r="P411" t="str">
        <x:v>WEAR</x:v>
      </x:c>
      <x:c r="Q411" t="str">
        <x:v>N</x:v>
      </x:c>
      <x:c r="R411" t="str">
        <x:v>2.8</x:v>
      </x:c>
      <x:c r="S411" t="str">
        <x:v>1351.04</x:v>
      </x:c>
      <x:c r="T411" t="str">
        <x:v>chk P-502A - bearing hot frm ops</x:v>
      </x:c>
      <x:c r="U411" t="str">
        <x:v>night called for P-502A bottoms pump A, tray temp low seen during reboiler duty loss. Foud bearing hot; brg rough, lube dark. tightened fittings, leak test ok. still little hunting but acceptable. notif made by ops, maint attended same shift.</x:v>
      </x:c>
    </x:row>
    <x:row r="412" ht="15" hidden="0" customHeight="1">
      <x:c r="A412" t="str">
        <x:v>10450411</x:v>
      </x:c>
      <x:c r="B412" t="str">
        <x:v>40870411</x:v>
      </x:c>
      <x:c r="C412" t="str">
        <x:v>2023-01-23</x:v>
      </x:c>
      <x:c r="D412" t="str">
        <x:v>2023-01-24</x:v>
      </x:c>
      <x:c r="E412" t="str">
        <x:v>2023-01-25</x:v>
      </x:c>
      <x:c r="F412" t="str">
        <x:v>U400-DEETHANIZER-500</x:v>
      </x:c>
      <x:c r="G412" t="str">
        <x:v>E-501</x:v>
      </x:c>
      <x:c r="H412" t="str">
        <x:v>deethanizer reboiler</x:v>
      </x:c>
      <x:c r="I412" t="str">
        <x:v>reboiler</x:v>
      </x:c>
      <x:c r="J412" t="str">
        <x:v>P4</x:v>
      </x:c>
      <x:c r="K412" t="str">
        <x:v>CLSD</x:v>
      </x:c>
      <x:c r="L412" t="str">
        <x:v>OPS+MECH</x:v>
      </x:c>
      <x:c r="M412" t="str">
        <x:v>reboiler_duty_loss</x:v>
      </x:c>
      <x:c r="N412" t="str">
        <x:v>circ poor</x:v>
      </x:c>
      <x:c r="O412" t="str">
        <x:v>NO_FLOW</x:v>
      </x:c>
      <x:c r="P412" t="str">
        <x:v>PLUG</x:v>
      </x:c>
      <x:c r="Q412" t="str">
        <x:v>N</x:v>
      </x:c>
      <x:c r="R412" t="str">
        <x:v>12.9</x:v>
      </x:c>
      <x:c r="S412" t="str">
        <x:v>13058.01</x:v>
      </x:c>
      <x:c r="T412" t="str">
        <x:v>chk E-501 - circ poor frm ops</x:v>
      </x:c>
      <x:c r="U412" t="str">
        <x:v>days called for E-501 deethanizer reboiler, tray temp low seen during reboiler duty loss. Foud circ poor; blocked inlet screen. opened strainer, cleaned black sludge. temp repair only, plan shutdown job. notif made by ops, maint attended same shift.</x:v>
      </x:c>
    </x:row>
    <x:row r="413" ht="15" hidden="0" customHeight="1">
      <x:c r="A413" t="str">
        <x:v>10450412</x:v>
      </x:c>
      <x:c r="B413" t="str">
        <x:v>40870412</x:v>
      </x:c>
      <x:c r="C413" t="str">
        <x:v>2023-01-27</x:v>
      </x:c>
      <x:c r="D413" t="str">
        <x:v>2023-01-27</x:v>
      </x:c>
      <x:c r="E413" t="str">
        <x:v>2023-01-29</x:v>
      </x:c>
      <x:c r="F413" t="str">
        <x:v>U400-DEETHANIZER-500</x:v>
      </x:c>
      <x:c r="G413" t="str">
        <x:v>FT-502</x:v>
      </x:c>
      <x:c r="H413" t="str">
        <x:v>reflux flow transmitter</x:v>
      </x:c>
      <x:c r="I413" t="str">
        <x:v>instrument</x:v>
      </x:c>
      <x:c r="J413" t="str">
        <x:v>P3</x:v>
      </x:c>
      <x:c r="K413" t="str">
        <x:v>CLSD</x:v>
      </x:c>
      <x:c r="L413" t="str">
        <x:v>OPS+INST</x:v>
      </x:c>
      <x:c r="M413" t="str">
        <x:v>reflux_pump_degradation</x:v>
      </x:c>
      <x:c r="N413" t="str">
        <x:v>bad reading</x:v>
      </x:c>
      <x:c r="O413" t="str">
        <x:v>DRIFT</x:v>
      </x:c>
      <x:c r="P413" t="str">
        <x:v>CAL</x:v>
      </x:c>
      <x:c r="Q413" t="str">
        <x:v>N</x:v>
      </x:c>
      <x:c r="R413" t="str">
        <x:v>8.1</x:v>
      </x:c>
      <x:c r="S413" t="str">
        <x:v>4022.54</x:v>
      </x:c>
      <x:c r="T413" t="str">
        <x:v>FT-502 not ok after reflux pump degradation</x:v>
      </x:c>
      <x:c r="U413" t="str">
        <x:v>C shift called for FT-502 rflx flow transmitter, seal weep seen during rflx pump degradation. Foud bad reading; needs calib. Could not get permit first time waiting area gas test. replaced positioner tubing and retuned small. unit stable now. notif made by ops, maint attended same shift.</x:v>
      </x:c>
    </x:row>
    <x:row r="414" ht="15" hidden="0" customHeight="1">
      <x:c r="A414" t="str">
        <x:v>10450413</x:v>
      </x:c>
      <x:c r="B414" t="str">
        <x:v>40870413</x:v>
      </x:c>
      <x:c r="C414" t="str">
        <x:v>2023-01-24</x:v>
      </x:c>
      <x:c r="D414" t="str">
        <x:v>2023-01-25</x:v>
      </x:c>
      <x:c r="E414" t="str">
        <x:v>2023-01-26</x:v>
      </x:c>
      <x:c r="F414" t="str">
        <x:v>U400-DEETHANIZER-500</x:v>
      </x:c>
      <x:c r="G414" t="str">
        <x:v>PV-501</x:v>
      </x:c>
      <x:c r="H414" t="str">
        <x:v>column pressure control valve</x:v>
      </x:c>
      <x:c r="I414" t="str">
        <x:v>control_valve</x:v>
      </x:c>
      <x:c r="J414" t="str">
        <x:v>P3</x:v>
      </x:c>
      <x:c r="K414" t="str">
        <x:v>COMP</x:v>
      </x:c>
      <x:c r="L414" t="str">
        <x:v>ANLYZR</x:v>
      </x:c>
      <x:c r="M414" t="str">
        <x:v>pressure_control_fault</x:v>
      </x:c>
      <x:c r="N414" t="str">
        <x:v>stiction</x:v>
      </x:c>
      <x:c r="O414" t="str">
        <x:v>STICK</x:v>
      </x:c>
      <x:c r="P414" t="str">
        <x:v>PACKING</x:v>
      </x:c>
      <x:c r="Q414" t="str">
        <x:v>N</x:v>
      </x:c>
      <x:c r="R414" t="str">
        <x:v>1.8</x:v>
      </x:c>
      <x:c r="S414" t="str">
        <x:v>6605.33</x:v>
      </x:c>
      <x:c r="T414" t="str">
        <x:v>PV-501 stiction again, prod upset</x:v>
      </x:c>
      <x:c r="U414" t="str">
        <x:v>A shift called for PV-501 column press control valve, pic unstable seen during press control fault. Foud stiction; stem sticky and pos err. flushed impulse/sample line. no leak at handover. notif made by ops, maint attended same shift.</x:v>
      </x:c>
    </x:row>
    <x:row r="415" ht="15" hidden="0" customHeight="1">
      <x:c r="A415" t="str">
        <x:v>10450414</x:v>
      </x:c>
      <x:c r="B415" t="str">
        <x:v>40870414</x:v>
      </x:c>
      <x:c r="C415" t="str">
        <x:v>2023-01-24</x:v>
      </x:c>
      <x:c r="D415" t="str">
        <x:v>2023-01-25</x:v>
      </x:c>
      <x:c r="E415" t="str">
        <x:v>2023-02-08</x:v>
      </x:c>
      <x:c r="F415" t="str">
        <x:v>U400-DEETHANIZER-500</x:v>
      </x:c>
      <x:c r="G415" t="str">
        <x:v>TT-501B</x:v>
      </x:c>
      <x:c r="H415" t="str">
        <x:v>sensitive tray temperature tx</x:v>
      </x:c>
      <x:c r="I415" t="str">
        <x:v>instrument</x:v>
      </x:c>
      <x:c r="J415" t="str">
        <x:v>P2</x:v>
      </x:c>
      <x:c r="K415" t="str">
        <x:v>CLSD</x:v>
      </x:c>
      <x:c r="L415" t="str">
        <x:v>ANLYZR</x:v>
      </x:c>
      <x:c r="M415" t="str">
        <x:v>reboiler_duty_loss</x:v>
      </x:c>
      <x:c r="N415" t="str">
        <x:v>bad reading</x:v>
      </x:c>
      <x:c r="O415" t="str">
        <x:v>DRIFT</x:v>
      </x:c>
      <x:c r="P415" t="str">
        <x:v>CAL</x:v>
      </x:c>
      <x:c r="Q415" t="str">
        <x:v>N</x:v>
      </x:c>
      <x:c r="R415" t="str">
        <x:v>16.5</x:v>
      </x:c>
      <x:c r="S415" t="str">
        <x:v>4751.32</x:v>
      </x:c>
      <x:c r="T415" t="str">
        <x:v>chk TT-501B - bad reading frm ops</x:v>
      </x:c>
      <x:c r="U415" t="str">
        <x:v>B shift called for TT-501B sensitive tray temperature tx, low heat seen during reboiler duty loss. Foud bad reading; needs calib. Could not get permit first time waiting area gas test. cleaned and put back online. ops says ok for now. notif made by ops, maint attended same shift.</x:v>
      </x:c>
    </x:row>
    <x:row r="416" ht="15" hidden="0" customHeight="1">
      <x:c r="A416" t="str">
        <x:v>10450415</x:v>
      </x:c>
      <x:c r="B416" t="str">
        <x:v>40870415</x:v>
      </x:c>
      <x:c r="C416" t="str">
        <x:v>2023-01-30</x:v>
      </x:c>
      <x:c r="D416" t="str">
        <x:v>2023-02-01</x:v>
      </x:c>
      <x:c r="E416" t="str">
        <x:v>2023-02-01</x:v>
      </x:c>
      <x:c r="F416" t="str">
        <x:v>U400-DEETHANIZER-500</x:v>
      </x:c>
      <x:c r="G416" t="str">
        <x:v>E-501</x:v>
      </x:c>
      <x:c r="H416" t="str">
        <x:v>deethanizer reboiler</x:v>
      </x:c>
      <x:c r="I416" t="str">
        <x:v>reboiler</x:v>
      </x:c>
      <x:c r="J416" t="str">
        <x:v>P3</x:v>
      </x:c>
      <x:c r="K416" t="str">
        <x:v>COMP</x:v>
      </x:c>
      <x:c r="L416" t="str">
        <x:v>INST</x:v>
      </x:c>
      <x:c r="M416" t="str">
        <x:v>reboiler_duty_loss</x:v>
      </x:c>
      <x:c r="N416" t="str">
        <x:v>fouled bundle</x:v>
      </x:c>
      <x:c r="O416" t="str">
        <x:v>FOULING</x:v>
      </x:c>
      <x:c r="P416" t="str">
        <x:v>PROCESS</x:v>
      </x:c>
      <x:c r="Q416" t="str">
        <x:v>N</x:v>
      </x:c>
      <x:c r="R416" t="str">
        <x:v>17.1</x:v>
      </x:c>
      <x:c r="S416" t="str">
        <x:v>12117.87</x:v>
      </x:c>
      <x:c r="T416" t="str">
        <x:v>E-501 not ok after rebiler duty loss</x:v>
      </x:c>
      <x:c r="U416" t="str">
        <x:v>A shift called for E-501 deethanizer rebiler, c2 in btm seen during rebiler duty loss. Foud fouled bundle; bottoms side dirty. stroke tested, response better. need watch next feed swing. notif made by ops, maint attended same shift.</x:v>
      </x:c>
    </x:row>
    <x:row r="417" ht="15" hidden="0" customHeight="1">
      <x:c r="A417" t="str">
        <x:v>10450416</x:v>
      </x:c>
      <x:c r="B417" t="str">
        <x:v>40870416</x:v>
      </x:c>
      <x:c r="C417" t="str">
        <x:v>2023-01-28</x:v>
      </x:c>
      <x:c r="D417" t="str">
        <x:v>2023-01-30</x:v>
      </x:c>
      <x:c r="E417" t="str">
        <x:v>2023-01-30</x:v>
      </x:c>
      <x:c r="F417" t="str">
        <x:v>U400-DEETHANIZER-500</x:v>
      </x:c>
      <x:c r="G417" t="str">
        <x:v>FV-501</x:v>
      </x:c>
      <x:c r="H417" t="str">
        <x:v>feed flow control valve</x:v>
      </x:c>
      <x:c r="I417" t="str">
        <x:v>control_valve</x:v>
      </x:c>
      <x:c r="J417" t="str">
        <x:v>P2</x:v>
      </x:c>
      <x:c r="K417" t="str">
        <x:v>CLSD</x:v>
      </x:c>
      <x:c r="L417" t="str">
        <x:v>INST</x:v>
      </x:c>
      <x:c r="M417" t="str">
        <x:v>reflux_pump_degradation</x:v>
      </x:c>
      <x:c r="N417" t="str">
        <x:v>passing</x:v>
      </x:c>
      <x:c r="O417" t="str">
        <x:v>LEAK_BY</x:v>
      </x:c>
      <x:c r="P417" t="str">
        <x:v>SEAT</x:v>
      </x:c>
      <x:c r="Q417" t="str">
        <x:v>N</x:v>
      </x:c>
      <x:c r="R417" t="str">
        <x:v>5.0</x:v>
      </x:c>
      <x:c r="S417" t="str">
        <x:v>4145.67</x:v>
      </x:c>
      <x:c r="T417" t="str">
        <x:v>FV-501 pump vib, passing</x:v>
      </x:c>
      <x:c r="U417" t="str">
        <x:v>night called for FV-501 feed flow control valve, low reflux seen during reflux pump degradation. Foud passing; seat leak by. No spare in store at first, used refurb one from shop. tightened fittings, leak test ok. no leak at handover. notif made by ops, maint attended same shift.</x:v>
      </x:c>
    </x:row>
    <x:row r="418" ht="15" hidden="0" customHeight="1">
      <x:c r="A418" t="str">
        <x:v>10450417</x:v>
      </x:c>
      <x:c r="B418" t="str">
        <x:v>40870417</x:v>
      </x:c>
      <x:c r="C418" t="str">
        <x:v>2023-02-03</x:v>
      </x:c>
      <x:c r="D418" t="str">
        <x:v>2023-02-04</x:v>
      </x:c>
      <x:c r="E418" t="str">
        <x:v>2023-02-09</x:v>
      </x:c>
      <x:c r="F418" t="str">
        <x:v>U400-DEETHANIZER-500</x:v>
      </x:c>
      <x:c r="G418" t="str">
        <x:v>FV-502</x:v>
      </x:c>
      <x:c r="H418" t="str">
        <x:v>reflux flow control valve</x:v>
      </x:c>
      <x:c r="I418" t="str">
        <x:v>control_valve</x:v>
      </x:c>
      <x:c r="J418" t="str">
        <x:v>P4</x:v>
      </x:c>
      <x:c r="K418" t="str">
        <x:v>COMP</x:v>
      </x:c>
      <x:c r="L418" t="str">
        <x:v>ROT</x:v>
      </x:c>
      <x:c r="M418" t="str">
        <x:v>reflux_pump_degradation</x:v>
      </x:c>
      <x:c r="N418" t="str">
        <x:v>hunting loop</x:v>
      </x:c>
      <x:c r="O418" t="str">
        <x:v>CTRL_OSC</x:v>
      </x:c>
      <x:c r="P418" t="str">
        <x:v>TUNE</x:v>
      </x:c>
      <x:c r="Q418" t="str">
        <x:v>N</x:v>
      </x:c>
      <x:c r="R418" t="str">
        <x:v>11.0</x:v>
      </x:c>
      <x:c r="S418" t="str">
        <x:v>4914.89</x:v>
      </x:c>
      <x:c r="T418" t="str">
        <x:v>chk FV-502 - hunting loop frm ops</x:v>
      </x:c>
      <x:c r="U418" t="str">
        <x:v>C shift called for FV-502 reflux flow control valve, pump vib seen during reflux pump degradation. Foud hunting loop; bad response after upset. stroke tested, response better. still little hunting but acceptable. notif made by ops, maint attended same shift.</x:v>
      </x:c>
    </x:row>
    <x:row r="419" ht="15" hidden="0" customHeight="1">
      <x:c r="A419" t="str">
        <x:v>10450418</x:v>
      </x:c>
      <x:c r="B419" t="str">
        <x:v>40870418</x:v>
      </x:c>
      <x:c r="C419" t="str">
        <x:v>2023-02-03</x:v>
      </x:c>
      <x:c r="D419" t="str">
        <x:v>2023-02-04</x:v>
      </x:c>
      <x:c r="E419" t="str">
        <x:v>2023-02-06</x:v>
      </x:c>
      <x:c r="F419" t="str">
        <x:v>U400-DEETHANIZER-500</x:v>
      </x:c>
      <x:c r="G419" t="str">
        <x:v>E-503</x:v>
      </x:c>
      <x:c r="H419" t="str">
        <x:v>feed bottoms exchanger</x:v>
      </x:c>
      <x:c r="I419" t="str">
        <x:v>exchanger</x:v>
      </x:c>
      <x:c r="J419" t="str">
        <x:v>P2</x:v>
      </x:c>
      <x:c r="K419" t="str">
        <x:v>CLSD</x:v>
      </x:c>
      <x:c r="L419" t="str">
        <x:v>INST</x:v>
      </x:c>
      <x:c r="M419" t="str">
        <x:v>feed_composition_shift</x:v>
      </x:c>
      <x:c r="N419" t="str">
        <x:v>gasket weep</x:v>
      </x:c>
      <x:c r="O419" t="str">
        <x:v>LEAK</x:v>
      </x:c>
      <x:c r="P419" t="str">
        <x:v>GASKET</x:v>
      </x:c>
      <x:c r="Q419" t="str">
        <x:v>Y</x:v>
      </x:c>
      <x:c r="R419" t="str">
        <x:v>19.6</x:v>
      </x:c>
      <x:c r="S419" t="str">
        <x:v>13098.27</x:v>
      </x:c>
      <x:c r="T419" t="str">
        <x:v>E-503 gasket weep again, prod upset</x:v>
      </x:c>
      <x:c r="U419" t="str">
        <x:v>C shift called for E-503 feed bottoms exchanger, quality bad seen during feed composition shift. Foud gasket weep; flange sweating. Tag plate dirty, confirmd by line up with panel. tightened fittings, leak test ok. ops says ok for now. notif made by ops, maint attended same shift.</x:v>
      </x:c>
    </x:row>
    <x:row r="420" ht="15" hidden="0" customHeight="1">
      <x:c r="A420" t="str">
        <x:v>10450419</x:v>
      </x:c>
      <x:c r="B420" t="str">
        <x:v>40870419</x:v>
      </x:c>
      <x:c r="C420" t="str">
        <x:v>2023-02-03</x:v>
      </x:c>
      <x:c r="D420" t="str">
        <x:v>2023-02-03</x:v>
      </x:c>
      <x:c r="E420" t="str">
        <x:v>2023-02-04</x:v>
      </x:c>
      <x:c r="F420" t="str">
        <x:v>U400-DEETHANIZER-500</x:v>
      </x:c>
      <x:c r="G420" t="str">
        <x:v>TV-502</x:v>
      </x:c>
      <x:c r="H420" t="str">
        <x:v>condenser cooling valve</x:v>
      </x:c>
      <x:c r="I420" t="str">
        <x:v>control_valve</x:v>
      </x:c>
      <x:c r="J420" t="str">
        <x:v>P2</x:v>
      </x:c>
      <x:c r="K420" t="str">
        <x:v>CLSD</x:v>
      </x:c>
      <x:c r="L420" t="str">
        <x:v>E&amp;I</x:v>
      </x:c>
      <x:c r="M420" t="str">
        <x:v>condenser_fouling</x:v>
      </x:c>
      <x:c r="N420" t="str">
        <x:v>not stroking</x:v>
      </x:c>
      <x:c r="O420" t="str">
        <x:v>NO_TRAVEL</x:v>
      </x:c>
      <x:c r="P420" t="str">
        <x:v>ACT</x:v>
      </x:c>
      <x:c r="Q420" t="str">
        <x:v>N</x:v>
      </x:c>
      <x:c r="R420" t="str">
        <x:v>14.8</x:v>
      </x:c>
      <x:c r="S420" t="str">
        <x:v>5134.61</x:v>
      </x:c>
      <x:c r="T420" t="str">
        <x:v>TV-502 not stroking again, prod upset</x:v>
      </x:c>
      <x:c r="U420" t="str">
        <x:v>days called for TV-502 condnsr cooling valve, cw dt low seen during condnsr fouling. Foud not stroking; actuator weak. swapped to standby and repaired. temp repair only, plan shutdown job. notif made by ops, maint attended same shift.</x:v>
      </x:c>
    </x:row>
    <x:row r="421" ht="15" hidden="0" customHeight="1">
      <x:c r="A421" t="str">
        <x:v>10450420</x:v>
      </x:c>
      <x:c r="B421" t="str">
        <x:v>40870420</x:v>
      </x:c>
      <x:c r="C421" t="str">
        <x:v>2023-02-03</x:v>
      </x:c>
      <x:c r="D421" t="str">
        <x:v>2023-02-03</x:v>
      </x:c>
      <x:c r="E421" t="str">
        <x:v>2023-02-08</x:v>
      </x:c>
      <x:c r="F421" t="str">
        <x:v>U400-DEETHANIZER-500</x:v>
      </x:c>
      <x:c r="G421" t="str">
        <x:v>TT-503</x:v>
      </x:c>
      <x:c r="H421" t="str">
        <x:v>reboiler outlet temperature tx</x:v>
      </x:c>
      <x:c r="I421" t="str">
        <x:v>instrument</x:v>
      </x:c>
      <x:c r="J421" t="str">
        <x:v>P3</x:v>
      </x:c>
      <x:c r="K421" t="str">
        <x:v>COMP</x:v>
      </x:c>
      <x:c r="L421" t="str">
        <x:v>E&amp;I</x:v>
      </x:c>
      <x:c r="M421" t="str">
        <x:v>reboiler_duty_loss</x:v>
      </x:c>
      <x:c r="N421" t="str">
        <x:v>range err</x:v>
      </x:c>
      <x:c r="O421" t="str">
        <x:v>SPAN</x:v>
      </x:c>
      <x:c r="P421" t="str">
        <x:v>CAL</x:v>
      </x:c>
      <x:c r="Q421" t="str">
        <x:v>N</x:v>
      </x:c>
      <x:c r="R421" t="str">
        <x:v>15.6</x:v>
      </x:c>
      <x:c r="S421" t="str">
        <x:v>806.17</x:v>
      </x:c>
      <x:c r="T421" t="str">
        <x:v>TT-503 range err again, prod upset</x:v>
      </x:c>
      <x:c r="U421" t="str">
        <x:v>night called for TT-503 reboiler outlet temperature tx, rb circ cold seen during reboiler duty loss. Foud range err; span shifted. flushed impulse/sample line. ops says ok for now. notif made by ops, maint attended same shift.</x:v>
      </x:c>
    </x:row>
    <x:row r="422" ht="15" hidden="0" customHeight="1">
      <x:c r="A422" t="str">
        <x:v>10450421</x:v>
      </x:c>
      <x:c r="B422" t="str">
        <x:v>40870421</x:v>
      </x:c>
      <x:c r="C422" t="str">
        <x:v>2023-02-06</x:v>
      </x:c>
      <x:c r="D422" t="str">
        <x:v>2023-02-06</x:v>
      </x:c>
      <x:c r="E422" t="str">
        <x:v>2023-02-08</x:v>
      </x:c>
      <x:c r="F422" t="str">
        <x:v>U400-DEETHANIZER-500</x:v>
      </x:c>
      <x:c r="G422" t="str">
        <x:v>TT-501B</x:v>
      </x:c>
      <x:c r="H422" t="str">
        <x:v>sensitive tray temperature tx</x:v>
      </x:c>
      <x:c r="I422" t="str">
        <x:v>instrument</x:v>
      </x:c>
      <x:c r="J422" t="str">
        <x:v>P3</x:v>
      </x:c>
      <x:c r="K422" t="str">
        <x:v>TECO</x:v>
      </x:c>
      <x:c r="L422" t="str">
        <x:v>E&amp;I</x:v>
      </x:c>
      <x:c r="M422" t="str">
        <x:v>reboiler_duty_loss</x:v>
      </x:c>
      <x:c r="N422" t="str">
        <x:v>range err</x:v>
      </x:c>
      <x:c r="O422" t="str">
        <x:v>SPAN</x:v>
      </x:c>
      <x:c r="P422" t="str">
        <x:v>CAL</x:v>
      </x:c>
      <x:c r="Q422" t="str">
        <x:v>N</x:v>
      </x:c>
      <x:c r="R422" t="str">
        <x:v>12.1</x:v>
      </x:c>
      <x:c r="S422" t="str">
        <x:v>774.52</x:v>
      </x:c>
      <x:c r="T422" t="str">
        <x:v>TT-501B not ok after reboiler duty loss</x:v>
      </x:c>
      <x:c r="U422" t="str">
        <x:v>days called for TT-501B sensitive tray temp tx, tray temp low seen during reboiler duty loss. Foud range err; span shifted. No spare in store at first, used refurb one from shop. calibrated, loop checked with CCR. unit stable now. notif made by ops, maint attended same shift.</x:v>
      </x:c>
    </x:row>
    <x:row r="423" ht="15" hidden="0" customHeight="1">
      <x:c r="A423" t="str">
        <x:v>10450422</x:v>
      </x:c>
      <x:c r="B423" t="str">
        <x:v>40870422</x:v>
      </x:c>
      <x:c r="C423" t="str">
        <x:v>2023-02-06</x:v>
      </x:c>
      <x:c r="D423" t="str">
        <x:v>2023-02-07</x:v>
      </x:c>
      <x:c r="E423" t="str">
        <x:v>2023-02-07</x:v>
      </x:c>
      <x:c r="F423" t="str">
        <x:v>U400-DEETHANIZER-500</x:v>
      </x:c>
      <x:c r="G423" t="str">
        <x:v>E-503</x:v>
      </x:c>
      <x:c r="H423" t="str">
        <x:v>feed bottoms exchanger</x:v>
      </x:c>
      <x:c r="I423" t="str">
        <x:v>exchanger</x:v>
      </x:c>
      <x:c r="J423" t="str">
        <x:v>P3</x:v>
      </x:c>
      <x:c r="K423" t="str">
        <x:v>TECO</x:v>
      </x:c>
      <x:c r="L423" t="str">
        <x:v>INST</x:v>
      </x:c>
      <x:c r="M423" t="str">
        <x:v>feed_flow_step</x:v>
      </x:c>
      <x:c r="N423" t="str">
        <x:v>plugged pass</x:v>
      </x:c>
      <x:c r="O423" t="str">
        <x:v>PLUG</x:v>
      </x:c>
      <x:c r="P423" t="str">
        <x:v>FOUL</x:v>
      </x:c>
      <x:c r="Q423" t="str">
        <x:v>N</x:v>
      </x:c>
      <x:c r="R423" t="str">
        <x:v>8.3</x:v>
      </x:c>
      <x:c r="S423" t="str">
        <x:v>11856.93</x:v>
      </x:c>
      <x:c r="T423" t="str">
        <x:v>E-503 plugged pass again</x:v>
      </x:c>
      <x:c r="U423" t="str">
        <x:v>days called for E-503 feed bottoms exchanger, lvl swing seen during feed flow step. Foud plugged pass; flow restricted. calibrated, loop checked with CCR. still little hunting but acceptable. notif made by ops, maint attended same shift.</x:v>
      </x:c>
    </x:row>
    <x:row r="424" ht="15" hidden="0" customHeight="1">
      <x:c r="A424" t="str">
        <x:v>10450423</x:v>
      </x:c>
      <x:c r="B424" t="str">
        <x:v>40870423</x:v>
      </x:c>
      <x:c r="C424" t="str">
        <x:v>2023-02-07</x:v>
      </x:c>
      <x:c r="D424" t="str">
        <x:v>2023-02-07</x:v>
      </x:c>
      <x:c r="E424" t="str">
        <x:v>2023-02-10</x:v>
      </x:c>
      <x:c r="F424" t="str">
        <x:v>U400-DEETHANIZER-500</x:v>
      </x:c>
      <x:c r="G424" t="str">
        <x:v>LV-502</x:v>
      </x:c>
      <x:c r="H424" t="str">
        <x:v>bottoms level valve</x:v>
      </x:c>
      <x:c r="I424" t="str">
        <x:v>control_valve</x:v>
      </x:c>
      <x:c r="J424" t="str">
        <x:v>P3</x:v>
      </x:c>
      <x:c r="K424" t="str">
        <x:v>COMP</x:v>
      </x:c>
      <x:c r="L424" t="str">
        <x:v>OPS+MECH</x:v>
      </x:c>
      <x:c r="M424" t="str">
        <x:v>valve_stiction</x:v>
      </x:c>
      <x:c r="N424" t="str">
        <x:v>stiction</x:v>
      </x:c>
      <x:c r="O424" t="str">
        <x:v>STICK</x:v>
      </x:c>
      <x:c r="P424" t="str">
        <x:v>PACKING</x:v>
      </x:c>
      <x:c r="Q424" t="str">
        <x:v>N</x:v>
      </x:c>
      <x:c r="R424" t="str">
        <x:v>2.0</x:v>
      </x:c>
      <x:c r="S424" t="str">
        <x:v>2628.05</x:v>
      </x:c>
      <x:c r="T424" t="str">
        <x:v>chk LV-502 - stiction frm ops</x:v>
      </x:c>
      <x:c r="U424" t="str">
        <x:v>night called for LV-502 bottoms level valve, air leak seen during valve stiction. Foud stiction; stem sticky and pos err. Tag plate dirty, confirmd by line up with panel. stroke tested, response better. need watch next feed swing. notif made by ops, maint attended same shift.</x:v>
      </x:c>
    </x:row>
    <x:row r="425" ht="15" hidden="0" customHeight="1">
      <x:c r="A425" t="str">
        <x:v>10450424</x:v>
      </x:c>
      <x:c r="B425" t="str">
        <x:v>40870424</x:v>
      </x:c>
      <x:c r="C425" t="str">
        <x:v>2023-02-10</x:v>
      </x:c>
      <x:c r="D425" t="str">
        <x:v>2023-02-10</x:v>
      </x:c>
      <x:c r="E425" t="str">
        <x:v>2023-02-12</x:v>
      </x:c>
      <x:c r="F425" t="str">
        <x:v>U400-DEETHANIZER-500</x:v>
      </x:c>
      <x:c r="G425" t="str">
        <x:v>TT-501B</x:v>
      </x:c>
      <x:c r="H425" t="str">
        <x:v>sensitive tray temperature tx</x:v>
      </x:c>
      <x:c r="I425" t="str">
        <x:v>instrument</x:v>
      </x:c>
      <x:c r="J425" t="str">
        <x:v>P4</x:v>
      </x:c>
      <x:c r="K425" t="str">
        <x:v>TECO</x:v>
      </x:c>
      <x:c r="L425" t="str">
        <x:v>E&amp;I</x:v>
      </x:c>
      <x:c r="M425" t="str">
        <x:v>feed_temperature_ramp</x:v>
      </x:c>
      <x:c r="N425" t="str">
        <x:v>loose wire</x:v>
      </x:c>
      <x:c r="O425" t="str">
        <x:v>SIGNAL</x:v>
      </x:c>
      <x:c r="P425" t="str">
        <x:v>ELEC</x:v>
      </x:c>
      <x:c r="Q425" t="str">
        <x:v>N</x:v>
      </x:c>
      <x:c r="R425" t="str">
        <x:v>6.5</x:v>
      </x:c>
      <x:c r="S425" t="str">
        <x:v>778.24</x:v>
      </x:c>
      <x:c r="T425" t="str">
        <x:v>TT-501B rb duty up, loose wire</x:v>
      </x:c>
      <x:c r="U425" t="str">
        <x:v>C shift called for TT-501B sensitive tray temperature tx, spec off seen during feed temperature ramp. Foud loose wire; term loose. No spare in store at first, used refurb one from shop. changed gasket and boxed up. readng close to dcs after job. notif made by ops, maint attended same shift.</x:v>
      </x:c>
    </x:row>
    <x:row r="426" ht="15" hidden="0" customHeight="1">
      <x:c r="A426" t="str">
        <x:v>10450425</x:v>
      </x:c>
      <x:c r="B426" t="str">
        <x:v>40870425</x:v>
      </x:c>
      <x:c r="C426" t="str">
        <x:v>2023-02-10</x:v>
      </x:c>
      <x:c r="D426" t="str">
        <x:v>2023-02-11</x:v>
      </x:c>
      <x:c r="E426" t="str">
        <x:v>2023-02-25</x:v>
      </x:c>
      <x:c r="F426" t="str">
        <x:v>U400-DEETHANIZER-500</x:v>
      </x:c>
      <x:c r="G426" t="str">
        <x:v>TV-501</x:v>
      </x:c>
      <x:c r="H426" t="str">
        <x:v>reboiler hot medium valve</x:v>
      </x:c>
      <x:c r="I426" t="str">
        <x:v>control_valve</x:v>
      </x:c>
      <x:c r="J426" t="str">
        <x:v>P3</x:v>
      </x:c>
      <x:c r="K426" t="str">
        <x:v>COMP</x:v>
      </x:c>
      <x:c r="L426" t="str">
        <x:v>VALVE</x:v>
      </x:c>
      <x:c r="M426" t="str">
        <x:v>condenser_fouling</x:v>
      </x:c>
      <x:c r="N426" t="str">
        <x:v>air leak</x:v>
      </x:c>
      <x:c r="O426" t="str">
        <x:v>AIR_LEAK</x:v>
      </x:c>
      <x:c r="P426" t="str">
        <x:v>TUBING</x:v>
      </x:c>
      <x:c r="Q426" t="str">
        <x:v>N</x:v>
      </x:c>
      <x:c r="R426" t="str">
        <x:v>16.3</x:v>
      </x:c>
      <x:c r="S426" t="str">
        <x:v>5834.27</x:v>
      </x:c>
      <x:c r="T426" t="str">
        <x:v>TV-501 not ok after condenser fouling</x:v>
      </x:c>
      <x:c r="U426" t="str">
        <x:v>A shift called for TV-501 reboiler hot medium valve, drum temp hi seen during condnsr fouling. Foud air leak; positioner supply drop. Tag plate dirty, confirmd by line up with panel. reset trip and monitored for 2 hrs. still little hunting but acceptable. notif made by ops, maint attended same shift.</x:v>
      </x:c>
    </x:row>
    <x:row r="427" ht="15" hidden="0" customHeight="1">
      <x:c r="A427" t="str">
        <x:v>10450426</x:v>
      </x:c>
      <x:c r="B427" t="str">
        <x:v>40870426</x:v>
      </x:c>
      <x:c r="C427" t="str">
        <x:v>2023-02-16</x:v>
      </x:c>
      <x:c r="D427" t="str">
        <x:v>2023-02-18</x:v>
      </x:c>
      <x:c r="E427" t="str">
        <x:v>2023-02-19</x:v>
      </x:c>
      <x:c r="F427" t="str">
        <x:v>U400-DEETHANIZER-500</x:v>
      </x:c>
      <x:c r="G427" t="str">
        <x:v>E-501</x:v>
      </x:c>
      <x:c r="H427" t="str">
        <x:v>deethanizer reboiler</x:v>
      </x:c>
      <x:c r="I427" t="str">
        <x:v>reboiler</x:v>
      </x:c>
      <x:c r="J427" t="str">
        <x:v>P3</x:v>
      </x:c>
      <x:c r="K427" t="str">
        <x:v>CLSD</x:v>
      </x:c>
      <x:c r="L427" t="str">
        <x:v>E&amp;I</x:v>
      </x:c>
      <x:c r="M427" t="str">
        <x:v>normal_wear</x:v>
      </x:c>
      <x:c r="N427" t="str">
        <x:v>low duty</x:v>
      </x:c>
      <x:c r="O427" t="str">
        <x:v>DUTY_LOSS</x:v>
      </x:c>
      <x:c r="P427" t="str">
        <x:v>UTILITY</x:v>
      </x:c>
      <x:c r="Q427" t="str">
        <x:v>N</x:v>
      </x:c>
      <x:c r="R427" t="str">
        <x:v>14.9</x:v>
      </x:c>
      <x:c r="S427" t="str">
        <x:v>13998.58</x:v>
      </x:c>
      <x:c r="T427" t="str">
        <x:v>E-501 low duty chk &amp; revert</x:v>
      </x:c>
      <x:c r="U427" t="str">
        <x:v>C shift called for E-501 deethanizer reboiler, plugged impulse seen during normal wear. Foud low duty; hm valve/strainer issue. calibrated, loop checked with CCR. need watch next feed swing. notif made by ops, maint attended same shift.</x:v>
      </x:c>
    </x:row>
    <x:row r="428" ht="15" hidden="0" customHeight="1">
      <x:c r="A428" t="str">
        <x:v>10450427</x:v>
      </x:c>
      <x:c r="B428" t="str">
        <x:v>40870427</x:v>
      </x:c>
      <x:c r="C428" t="str">
        <x:v>2023-02-16</x:v>
      </x:c>
      <x:c r="D428" t="str">
        <x:v>2023-02-17</x:v>
      </x:c>
      <x:c r="E428" t="str">
        <x:v>2023-02-17</x:v>
      </x:c>
      <x:c r="F428" t="str">
        <x:v>U400-DEETHANIZER-500</x:v>
      </x:c>
      <x:c r="G428" t="str">
        <x:v>LV-501</x:v>
      </x:c>
      <x:c r="H428" t="str">
        <x:v>reflux drum level valve</x:v>
      </x:c>
      <x:c r="I428" t="str">
        <x:v>control_valve</x:v>
      </x:c>
      <x:c r="J428" t="str">
        <x:v>P2</x:v>
      </x:c>
      <x:c r="K428" t="str">
        <x:v>CLSD</x:v>
      </x:c>
      <x:c r="L428" t="str">
        <x:v>MECH</x:v>
      </x:c>
      <x:c r="M428" t="str">
        <x:v>valve_stiction</x:v>
      </x:c>
      <x:c r="N428" t="str">
        <x:v>not stroking</x:v>
      </x:c>
      <x:c r="O428" t="str">
        <x:v>NO_TRAVEL</x:v>
      </x:c>
      <x:c r="P428" t="str">
        <x:v>ACT</x:v>
      </x:c>
      <x:c r="Q428" t="str">
        <x:v>N</x:v>
      </x:c>
      <x:c r="R428" t="str">
        <x:v>9.6</x:v>
      </x:c>
      <x:c r="S428" t="str">
        <x:v>2068.67</x:v>
      </x:c>
      <x:c r="T428" t="str">
        <x:v>LV-501 position bad, not stroking</x:v>
      </x:c>
      <x:c r="U428" t="str">
        <x:v>night called for LV-501 reflux drum level valve, valve sticking seen during valve stiction. Foud not stroking; actuator weak. History shows same complain last mnth. stroke tested, response better. ops says ok for now. notif made by ops, maint attended same shift.</x:v>
      </x:c>
    </x:row>
    <x:row r="429" ht="15" hidden="0" customHeight="1">
      <x:c r="A429" t="str">
        <x:v>10450428</x:v>
      </x:c>
      <x:c r="B429" t="str">
        <x:v>40870428</x:v>
      </x:c>
      <x:c r="C429" t="str">
        <x:v>2023-02-15</x:v>
      </x:c>
      <x:c r="D429" t="str">
        <x:v>2023-02-15</x:v>
      </x:c>
      <x:c r="E429" t="str">
        <x:v>2023-02-17</x:v>
      </x:c>
      <x:c r="F429" t="str">
        <x:v>U400-DEETHANIZER-500</x:v>
      </x:c>
      <x:c r="G429" t="str">
        <x:v>PSV-501B</x:v>
      </x:c>
      <x:c r="H429" t="str">
        <x:v>column relief valve B</x:v>
      </x:c>
      <x:c r="I429" t="str">
        <x:v>relief</x:v>
      </x:c>
      <x:c r="J429" t="str">
        <x:v>P1</x:v>
      </x:c>
      <x:c r="K429" t="str">
        <x:v>TECO</x:v>
      </x:c>
      <x:c r="L429" t="str">
        <x:v>E&amp;I</x:v>
      </x:c>
      <x:c r="M429" t="str">
        <x:v>reflux_pump_degradation</x:v>
      </x:c>
      <x:c r="N429" t="str">
        <x:v>due to lift chk</x:v>
      </x:c>
      <x:c r="O429" t="str">
        <x:v>LIFT_EVENT</x:v>
      </x:c>
      <x:c r="P429" t="str">
        <x:v>PROCESS</x:v>
      </x:c>
      <x:c r="Q429" t="str">
        <x:v>Y</x:v>
      </x:c>
      <x:c r="R429" t="str">
        <x:v>18.1</x:v>
      </x:c>
      <x:c r="S429" t="str">
        <x:v>6528.42</x:v>
      </x:c>
      <x:c r="T429" t="str">
        <x:v>PSV-501B seal weep, due to lift chk</x:v>
      </x:c>
      <x:c r="U429" t="str">
        <x:v>C shift called for PSV-501B column relief valve B, seal weep seen during rflx pump degradation. Foud due to lift chk; after press excursion. No spare in store at first, used refurb one from shop. replaced positioner tubing and retuned small. no leak at handover. notif made by ops, maint attended same shift.</x:v>
      </x:c>
    </x:row>
    <x:row r="430" ht="15" hidden="0" customHeight="1">
      <x:c r="A430" t="str">
        <x:v>10450429</x:v>
      </x:c>
      <x:c r="B430" t="str">
        <x:v>40870429</x:v>
      </x:c>
      <x:c r="C430" t="str">
        <x:v>2023-02-19</x:v>
      </x:c>
      <x:c r="D430" t="str">
        <x:v>2023-02-19</x:v>
      </x:c>
      <x:c r="E430" t="str">
        <x:v>2023-02-21</x:v>
      </x:c>
      <x:c r="F430" t="str">
        <x:v>U400-DEETHANIZER-500</x:v>
      </x:c>
      <x:c r="G430" t="str">
        <x:v>P-501A</x:v>
      </x:c>
      <x:c r="H430" t="str">
        <x:v>reflux pump A</x:v>
      </x:c>
      <x:c r="I430" t="str">
        <x:v>pump</x:v>
      </x:c>
      <x:c r="J430" t="str">
        <x:v>P3</x:v>
      </x:c>
      <x:c r="K430" t="str">
        <x:v>CLSD</x:v>
      </x:c>
      <x:c r="L430" t="str">
        <x:v>VALVE</x:v>
      </x:c>
      <x:c r="M430" t="str">
        <x:v>reflux_pump_degradation</x:v>
      </x:c>
      <x:c r="N430" t="str">
        <x:v>seal leak</x:v>
      </x:c>
      <x:c r="O430" t="str">
        <x:v>MECH_SEAL</x:v>
      </x:c>
      <x:c r="P430" t="str">
        <x:v>SEAL</x:v>
      </x:c>
      <x:c r="Q430" t="str">
        <x:v>N</x:v>
      </x:c>
      <x:c r="R430" t="str">
        <x:v>1.2</x:v>
      </x:c>
      <x:c r="S430" t="str">
        <x:v>13750.96</x:v>
      </x:c>
      <x:c r="T430" t="str">
        <x:v>P-501A seal weep, seal leak</x:v>
      </x:c>
      <x:c r="U430" t="str">
        <x:v>night called for P-501A reflux pump A, pump vib seen during reflux pump degradation. Foud seal leak; seal face worn / dry run signs. changed gasket and boxed up. no leak at handover. notif made by ops, maint attended same shift.</x:v>
      </x:c>
    </x:row>
    <x:row r="431" ht="15" hidden="0" customHeight="1">
      <x:c r="A431" t="str">
        <x:v>10450430</x:v>
      </x:c>
      <x:c r="B431" t="str">
        <x:v>40870430</x:v>
      </x:c>
      <x:c r="C431" t="str">
        <x:v>2023-02-21</x:v>
      </x:c>
      <x:c r="D431" t="str">
        <x:v>2023-02-21</x:v>
      </x:c>
      <x:c r="E431" t="str">
        <x:v>2023-02-22</x:v>
      </x:c>
      <x:c r="F431" t="str">
        <x:v>U400-DEETHANIZER-500</x:v>
      </x:c>
      <x:c r="G431" t="str">
        <x:v>LV-501</x:v>
      </x:c>
      <x:c r="H431" t="str">
        <x:v>reflux drum level valve</x:v>
      </x:c>
      <x:c r="I431" t="str">
        <x:v>control_valve</x:v>
      </x:c>
      <x:c r="J431" t="str">
        <x:v>P3</x:v>
      </x:c>
      <x:c r="K431" t="str">
        <x:v>CLSD</x:v>
      </x:c>
      <x:c r="L431" t="str">
        <x:v>VALVE</x:v>
      </x:c>
      <x:c r="M431" t="str">
        <x:v>valve_stiction</x:v>
      </x:c>
      <x:c r="N431" t="str">
        <x:v>stiction</x:v>
      </x:c>
      <x:c r="O431" t="str">
        <x:v>STICK</x:v>
      </x:c>
      <x:c r="P431" t="str">
        <x:v>PACKING</x:v>
      </x:c>
      <x:c r="Q431" t="str">
        <x:v>N</x:v>
      </x:c>
      <x:c r="R431" t="str">
        <x:v>13.5</x:v>
      </x:c>
      <x:c r="S431" t="str">
        <x:v>601.45</x:v>
      </x:c>
      <x:c r="T431" t="str">
        <x:v>LV-501 op jumps, stiction</x:v>
      </x:c>
      <x:c r="U431" t="str">
        <x:v>C shift called for LV-501 reflux drum level valve, air leak seen during valve stiction. Foud stiction; stem sticky and pos err. Tag plate dirty, confirmd by line up with panel. cleaned and put back online. no leak at handover. notif made by ops, maint attended same shift.</x:v>
      </x:c>
    </x:row>
    <x:row r="432" ht="15" hidden="0" customHeight="1">
      <x:c r="A432" t="str">
        <x:v>10450431</x:v>
      </x:c>
      <x:c r="B432" t="str">
        <x:v>40870431</x:v>
      </x:c>
      <x:c r="C432" t="str">
        <x:v>2023-02-22</x:v>
      </x:c>
      <x:c r="D432" t="str">
        <x:v>2023-02-22</x:v>
      </x:c>
      <x:c r="E432" t="str">
        <x:v>2023-02-23</x:v>
      </x:c>
      <x:c r="F432" t="str">
        <x:v>U400-DEETHANIZER-500</x:v>
      </x:c>
      <x:c r="G432" t="str">
        <x:v>E-503</x:v>
      </x:c>
      <x:c r="H432" t="str">
        <x:v>feed bottoms exchanger</x:v>
      </x:c>
      <x:c r="I432" t="str">
        <x:v>exchanger</x:v>
      </x:c>
      <x:c r="J432" t="str">
        <x:v>P3</x:v>
      </x:c>
      <x:c r="K432" t="str">
        <x:v>TECO</x:v>
      </x:c>
      <x:c r="L432" t="str">
        <x:v>VALVE</x:v>
      </x:c>
      <x:c r="M432" t="str">
        <x:v>feed_composition_shift</x:v>
      </x:c>
      <x:c r="N432" t="str">
        <x:v>gasket weep</x:v>
      </x:c>
      <x:c r="O432" t="str">
        <x:v>LEAK</x:v>
      </x:c>
      <x:c r="P432" t="str">
        <x:v>GASKET</x:v>
      </x:c>
      <x:c r="Q432" t="str">
        <x:v>N</x:v>
      </x:c>
      <x:c r="R432" t="str">
        <x:v>10.2</x:v>
      </x:c>
      <x:c r="S432" t="str">
        <x:v>2055.19</x:v>
      </x:c>
      <x:c r="T432" t="str">
        <x:v>E-503 gasket weep again, prod upset</x:v>
      </x:c>
      <x:c r="U432" t="str">
        <x:v>A shift called for E-503 feed bottoms exchanger, btm heavy seen during feed composition shift. Foud gasket weep; flange sweating. Could not get permit first time waiting area gas test. replaced positioner tubing and retuned small. ops says ok for now. notif made by ops, maint attended same shift.</x:v>
      </x:c>
    </x:row>
    <x:row r="433" ht="15" hidden="0" customHeight="1">
      <x:c r="A433" t="str">
        <x:v>10450432</x:v>
      </x:c>
      <x:c r="B433" t="str">
        <x:v>40870432</x:v>
      </x:c>
      <x:c r="C433" t="str">
        <x:v>2023-02-21</x:v>
      </x:c>
      <x:c r="D433" t="str">
        <x:v>2023-02-22</x:v>
      </x:c>
      <x:c r="E433" t="str">
        <x:v>2023-02-23</x:v>
      </x:c>
      <x:c r="F433" t="str">
        <x:v>U400-DEETHANIZER-500</x:v>
      </x:c>
      <x:c r="G433" t="str">
        <x:v>AIT-502</x:v>
      </x:c>
      <x:c r="H433" t="str">
        <x:v>bottoms C3+ analyzer</x:v>
      </x:c>
      <x:c r="I433" t="str">
        <x:v>analyzer</x:v>
      </x:c>
      <x:c r="J433" t="str">
        <x:v>P4</x:v>
      </x:c>
      <x:c r="K433" t="str">
        <x:v>CLSD</x:v>
      </x:c>
      <x:c r="L433" t="str">
        <x:v>ANLYZR</x:v>
      </x:c>
      <x:c r="M433" t="str">
        <x:v>feed_composition_shift</x:v>
      </x:c>
      <x:c r="N433" t="str">
        <x:v>condensate in sample</x:v>
      </x:c>
      <x:c r="O433" t="str">
        <x:v>LIQ_CARRY</x:v>
      </x:c>
      <x:c r="P433" t="str">
        <x:v>SAMPLE</x:v>
      </x:c>
      <x:c r="Q433" t="str">
        <x:v>N</x:v>
      </x:c>
      <x:c r="R433" t="str">
        <x:v>8.3</x:v>
      </x:c>
      <x:c r="S433" t="str">
        <x:v>937.91</x:v>
      </x:c>
      <x:c r="T433" t="str">
        <x:v>AIT-502 c3 in feed hi, condensate in sample</x:v>
      </x:c>
      <x:c r="U433" t="str">
        <x:v>A shift called for AIT-502 bottoms C3+ analyzer, quality bad seen during feed composition shift. Foud condensate in sample; knockout pot full. No spare in store at first, used refurb one from shop. opened strainer, cleaned black sludge. temp repair only, plan shutdown job. notif made by ops, maint attended same shift.</x:v>
      </x:c>
    </x:row>
    <x:row r="434" ht="15" hidden="0" customHeight="1">
      <x:c r="A434" t="str">
        <x:v>10450433</x:v>
      </x:c>
      <x:c r="B434" t="str">
        <x:v>40870433</x:v>
      </x:c>
      <x:c r="C434" t="str">
        <x:v>2023-02-25</x:v>
      </x:c>
      <x:c r="D434" t="str">
        <x:v>2023-02-25</x:v>
      </x:c>
      <x:c r="E434" t="str">
        <x:v>2023-02-26</x:v>
      </x:c>
      <x:c r="F434" t="str">
        <x:v>U400-DEETHANIZER-500</x:v>
      </x:c>
      <x:c r="G434" t="str">
        <x:v>FT-501</x:v>
      </x:c>
      <x:c r="H434" t="str">
        <x:v>feed flow transmitter</x:v>
      </x:c>
      <x:c r="I434" t="str">
        <x:v>instrument</x:v>
      </x:c>
      <x:c r="J434" t="str">
        <x:v>P3</x:v>
      </x:c>
      <x:c r="K434" t="str">
        <x:v>COMP</x:v>
      </x:c>
      <x:c r="L434" t="str">
        <x:v>ANLYZR</x:v>
      </x:c>
      <x:c r="M434" t="str">
        <x:v>feed_flow_step</x:v>
      </x:c>
      <x:c r="N434" t="str">
        <x:v>range err</x:v>
      </x:c>
      <x:c r="O434" t="str">
        <x:v>SPAN</x:v>
      </x:c>
      <x:c r="P434" t="str">
        <x:v>CAL</x:v>
      </x:c>
      <x:c r="Q434" t="str">
        <x:v>N</x:v>
      </x:c>
      <x:c r="R434" t="str">
        <x:v>9.7</x:v>
      </x:c>
      <x:c r="S434" t="str">
        <x:v>5023.8</x:v>
      </x:c>
      <x:c r="T434" t="str">
        <x:v>FT-501 fic hunting, range err</x:v>
      </x:c>
      <x:c r="U434" t="str">
        <x:v>A shift called for FT-501 feed flow transmitter, feed jump seen during feed flow step. Foud range err; span shifted. tightened fittings, leak test ok. readng close to dcs after job. notif made by ops, maint attended same shift.</x:v>
      </x:c>
    </x:row>
    <x:row r="435" ht="15" hidden="0" customHeight="1">
      <x:c r="A435" t="str">
        <x:v>10450434</x:v>
      </x:c>
      <x:c r="B435" t="str">
        <x:v>40870434</x:v>
      </x:c>
      <x:c r="C435" t="str">
        <x:v>2023-02-25</x:v>
      </x:c>
      <x:c r="D435" t="str">
        <x:v>2023-02-26</x:v>
      </x:c>
      <x:c r="E435" t="str">
        <x:v>2023-02-27</x:v>
      </x:c>
      <x:c r="F435" t="str">
        <x:v>U400-DEETHANIZER-500</x:v>
      </x:c>
      <x:c r="G435" t="str">
        <x:v>P-501A</x:v>
      </x:c>
      <x:c r="H435" t="str">
        <x:v>reflux pump A</x:v>
      </x:c>
      <x:c r="I435" t="str">
        <x:v>pump</x:v>
      </x:c>
      <x:c r="J435" t="str">
        <x:v>P4</x:v>
      </x:c>
      <x:c r="K435" t="str">
        <x:v>COMP</x:v>
      </x:c>
      <x:c r="L435" t="str">
        <x:v>E&amp;I</x:v>
      </x:c>
      <x:c r="M435" t="str">
        <x:v>reflux_pump_degradation</x:v>
      </x:c>
      <x:c r="N435" t="str">
        <x:v>motor trip</x:v>
      </x:c>
      <x:c r="O435" t="str">
        <x:v>MOTOR</x:v>
      </x:c>
      <x:c r="P435" t="str">
        <x:v>ELEC</x:v>
      </x:c>
      <x:c r="Q435" t="str">
        <x:v>N</x:v>
      </x:c>
      <x:c r="R435" t="str">
        <x:v>9.0</x:v>
      </x:c>
      <x:c r="S435" t="str">
        <x:v>4947.99</x:v>
      </x:c>
      <x:c r="T435" t="str">
        <x:v>P-501A motor trip ops req</x:v>
      </x:c>
      <x:c r="U435" t="str">
        <x:v>night called for P-501A reflux pump A, seal weep seen during reflux pump degradation. Foud motor trip; overload trip after upset. stroke tested, response better. ops says ok for now. notif made by ops, maint attended same shift.</x:v>
      </x:c>
    </x:row>
    <x:row r="436" ht="15" hidden="0" customHeight="1">
      <x:c r="A436" t="str">
        <x:v>10450435</x:v>
      </x:c>
      <x:c r="B436" t="str">
        <x:v>40870435</x:v>
      </x:c>
      <x:c r="C436" t="str">
        <x:v>2023-03-01</x:v>
      </x:c>
      <x:c r="D436" t="str">
        <x:v>2023-03-02</x:v>
      </x:c>
      <x:c r="E436" t="str">
        <x:v>2023-03-07</x:v>
      </x:c>
      <x:c r="F436" t="str">
        <x:v>U400-DEETHANIZER-500</x:v>
      </x:c>
      <x:c r="G436" t="str">
        <x:v>TT-503</x:v>
      </x:c>
      <x:c r="H436" t="str">
        <x:v>reboiler outlet temperature tx</x:v>
      </x:c>
      <x:c r="I436" t="str">
        <x:v>instrument</x:v>
      </x:c>
      <x:c r="J436" t="str">
        <x:v>P4</x:v>
      </x:c>
      <x:c r="K436" t="str">
        <x:v>TECO</x:v>
      </x:c>
      <x:c r="L436" t="str">
        <x:v>ANLYZR</x:v>
      </x:c>
      <x:c r="M436" t="str">
        <x:v>reboiler_duty_loss</x:v>
      </x:c>
      <x:c r="N436" t="str">
        <x:v>bad reading</x:v>
      </x:c>
      <x:c r="O436" t="str">
        <x:v>DRIFT</x:v>
      </x:c>
      <x:c r="P436" t="str">
        <x:v>CAL</x:v>
      </x:c>
      <x:c r="Q436" t="str">
        <x:v>N</x:v>
      </x:c>
      <x:c r="R436" t="str">
        <x:v>15.9</x:v>
      </x:c>
      <x:c r="S436" t="str">
        <x:v>4695.59</x:v>
      </x:c>
      <x:c r="T436" t="str">
        <x:v>TT-503 bad reading bad</x:v>
      </x:c>
      <x:c r="U436" t="str">
        <x:v>days called for TT-503 reboiler outlet temperature tx, rb circ cold seen during reboiler duty loss. Foud bad reading; needs calib. changed gasket and boxed up. no leak at handover. notif made by ops, maint attended same shift.</x:v>
      </x:c>
    </x:row>
    <x:row r="437" ht="15" hidden="0" customHeight="1">
      <x:c r="A437" t="str">
        <x:v>10450436</x:v>
      </x:c>
      <x:c r="B437" t="str">
        <x:v>40870436</x:v>
      </x:c>
      <x:c r="C437" t="str">
        <x:v>2023-03-01</x:v>
      </x:c>
      <x:c r="D437" t="str">
        <x:v>2023-03-01</x:v>
      </x:c>
      <x:c r="E437" t="str">
        <x:v>2023-03-02</x:v>
      </x:c>
      <x:c r="F437" t="str">
        <x:v>U400-DEETHANIZER-500</x:v>
      </x:c>
      <x:c r="G437" t="str">
        <x:v>AIT-501</x:v>
      </x:c>
      <x:c r="H437" t="str">
        <x:v>overhead C2 analyzer</x:v>
      </x:c>
      <x:c r="I437" t="str">
        <x:v>analyzer</x:v>
      </x:c>
      <x:c r="J437" t="str">
        <x:v>P3</x:v>
      </x:c>
      <x:c r="K437" t="str">
        <x:v>CLSD</x:v>
      </x:c>
      <x:c r="L437" t="str">
        <x:v>OPS+INST</x:v>
      </x:c>
      <x:c r="M437" t="str">
        <x:v>normal_wear</x:v>
      </x:c>
      <x:c r="N437" t="str">
        <x:v>condensate in sample</x:v>
      </x:c>
      <x:c r="O437" t="str">
        <x:v>LIQ_CARRY</x:v>
      </x:c>
      <x:c r="P437" t="str">
        <x:v>SAMPLE</x:v>
      </x:c>
      <x:c r="Q437" t="str">
        <x:v>N</x:v>
      </x:c>
      <x:c r="R437" t="str">
        <x:v>5.6</x:v>
      </x:c>
      <x:c r="S437" t="str">
        <x:v>511.47</x:v>
      </x:c>
      <x:c r="T437" t="str">
        <x:v>chk AIT-501 - condensate in sample frm ops</x:v>
      </x:c>
      <x:c r="U437" t="str">
        <x:v>A shift called for AIT-501 overhead C2 analyzer, pm found defect seen during normal wear. Foud condensate in sample; knockout pot full. History shows same complain last mnth. reset trip and monitored for 2 hrs. readng close to dcs after job. notif made by ops, maint attended same shift.</x:v>
      </x:c>
    </x:row>
    <x:row r="438" ht="15" hidden="0" customHeight="1">
      <x:c r="A438" t="str">
        <x:v>10450437</x:v>
      </x:c>
      <x:c r="B438" t="str">
        <x:v>40870437</x:v>
      </x:c>
      <x:c r="C438" t="str">
        <x:v>2023-03-01</x:v>
      </x:c>
      <x:c r="D438" t="str">
        <x:v>2023-03-02</x:v>
      </x:c>
      <x:c r="E438" t="str">
        <x:v>2023-03-05</x:v>
      </x:c>
      <x:c r="F438" t="str">
        <x:v>U400-DEETHANIZER-500</x:v>
      </x:c>
      <x:c r="G438" t="str">
        <x:v>TV-501</x:v>
      </x:c>
      <x:c r="H438" t="str">
        <x:v>reboiler hot medium valve</x:v>
      </x:c>
      <x:c r="I438" t="str">
        <x:v>control_valve</x:v>
      </x:c>
      <x:c r="J438" t="str">
        <x:v>P2</x:v>
      </x:c>
      <x:c r="K438" t="str">
        <x:v>COMP</x:v>
      </x:c>
      <x:c r="L438" t="str">
        <x:v>OPS+MECH</x:v>
      </x:c>
      <x:c r="M438" t="str">
        <x:v>feed_temperature_ramp</x:v>
      </x:c>
      <x:c r="N438" t="str">
        <x:v>stiction</x:v>
      </x:c>
      <x:c r="O438" t="str">
        <x:v>STICK</x:v>
      </x:c>
      <x:c r="P438" t="str">
        <x:v>PACKING</x:v>
      </x:c>
      <x:c r="Q438" t="str">
        <x:v>N</x:v>
      </x:c>
      <x:c r="R438" t="str">
        <x:v>5.4</x:v>
      </x:c>
      <x:c r="S438" t="str">
        <x:v>893.98</x:v>
      </x:c>
      <x:c r="T438" t="str">
        <x:v>chk TV-501 - stiction frm ops</x:v>
      </x:c>
      <x:c r="U438" t="str">
        <x:v>A shift called for TV-501 rebiler hot medium valve, ovhd press moving seen during feed temp ramp. Foud stiction; stem sticky and pos err. cleaned and put back online. readng close to dcs after job. notif made by ops, maint attended same shift.</x:v>
      </x:c>
    </x:row>
    <x:row r="439" ht="15" hidden="0" customHeight="1">
      <x:c r="A439" t="str">
        <x:v>10450438</x:v>
      </x:c>
      <x:c r="B439" t="str">
        <x:v>40870438</x:v>
      </x:c>
      <x:c r="C439" t="str">
        <x:v>2023-03-06</x:v>
      </x:c>
      <x:c r="D439" t="str">
        <x:v>2023-03-08</x:v>
      </x:c>
      <x:c r="E439" t="str">
        <x:v>2023-03-08</x:v>
      </x:c>
      <x:c r="F439" t="str">
        <x:v>U400-DEETHANIZER-500</x:v>
      </x:c>
      <x:c r="G439" t="str">
        <x:v>E-502</x:v>
      </x:c>
      <x:c r="H439" t="str">
        <x:v>deethanizer overhead condenser</x:v>
      </x:c>
      <x:c r="I439" t="str">
        <x:v>condenser</x:v>
      </x:c>
      <x:c r="J439" t="str">
        <x:v>P2</x:v>
      </x:c>
      <x:c r="K439" t="str">
        <x:v>CLSD</x:v>
      </x:c>
      <x:c r="L439" t="str">
        <x:v>ROT</x:v>
      </x:c>
      <x:c r="M439" t="str">
        <x:v>valve_stiction</x:v>
      </x:c>
      <x:c r="N439" t="str">
        <x:v>high press</x:v>
      </x:c>
      <x:c r="O439" t="str">
        <x:v>PERF</x:v>
      </x:c>
      <x:c r="P439" t="str">
        <x:v>FOUL</x:v>
      </x:c>
      <x:c r="Q439" t="str">
        <x:v>Y</x:v>
      </x:c>
      <x:c r="R439" t="str">
        <x:v>17.6</x:v>
      </x:c>
      <x:c r="S439" t="str">
        <x:v>8462.82</x:v>
      </x:c>
      <x:c r="T439" t="str">
        <x:v>E-502 vavle sticking, high press</x:v>
      </x:c>
      <x:c r="U439" t="str">
        <x:v>C shift called for E-502 deethanizer overhead condenser, valve sticking seen during valve stiction. Foud high press; condensing duty poor. reset trip and monitored for 2 hrs. need watch next feed swing. notif made by ops, maint attended same shift.</x:v>
      </x:c>
    </x:row>
    <x:row r="440" ht="15" hidden="0" customHeight="1">
      <x:c r="A440" t="str">
        <x:v>10450439</x:v>
      </x:c>
      <x:c r="B440" t="str">
        <x:v>40870439</x:v>
      </x:c>
      <x:c r="C440" t="str">
        <x:v>2023-03-06</x:v>
      </x:c>
      <x:c r="D440" t="str">
        <x:v>2023-03-07</x:v>
      </x:c>
      <x:c r="E440" t="str">
        <x:v>2023-03-08</x:v>
      </x:c>
      <x:c r="F440" t="str">
        <x:v>U400-DEETHANIZER-500</x:v>
      </x:c>
      <x:c r="G440" t="str">
        <x:v>TV-501</x:v>
      </x:c>
      <x:c r="H440" t="str">
        <x:v>reboiler hot medium valve</x:v>
      </x:c>
      <x:c r="I440" t="str">
        <x:v>control_valve</x:v>
      </x:c>
      <x:c r="J440" t="str">
        <x:v>P3</x:v>
      </x:c>
      <x:c r="K440" t="str">
        <x:v>COMP</x:v>
      </x:c>
      <x:c r="L440" t="str">
        <x:v>INST</x:v>
      </x:c>
      <x:c r="M440" t="str">
        <x:v>feed_temperature_ramp</x:v>
      </x:c>
      <x:c r="N440" t="str">
        <x:v>not stroking</x:v>
      </x:c>
      <x:c r="O440" t="str">
        <x:v>NO_TRAVEL</x:v>
      </x:c>
      <x:c r="P440" t="str">
        <x:v>ACT</x:v>
      </x:c>
      <x:c r="Q440" t="str">
        <x:v>N</x:v>
      </x:c>
      <x:c r="R440" t="str">
        <x:v>14.8</x:v>
      </x:c>
      <x:c r="S440" t="str">
        <x:v>968.31</x:v>
      </x:c>
      <x:c r="T440" t="str">
        <x:v>TV-501 feed temp high, not stroking</x:v>
      </x:c>
      <x:c r="U440" t="str">
        <x:v>C shift called for TV-501 reboiler hot medium valve, feed temp high seen during feed temperature ramp. Foud not stroking; actuator weak. calibrated, loop checked with CCR. still little hunting but acceptable. notif made by ops, maint attended same shift.</x:v>
      </x:c>
    </x:row>
    <x:row r="441" ht="15" hidden="0" customHeight="1">
      <x:c r="A441" t="str">
        <x:v>10450440</x:v>
      </x:c>
      <x:c r="B441" t="str">
        <x:v>40870440</x:v>
      </x:c>
      <x:c r="C441" t="str">
        <x:v>2023-03-07</x:v>
      </x:c>
      <x:c r="D441" t="str">
        <x:v>2023-03-07</x:v>
      </x:c>
      <x:c r="E441" t="str">
        <x:v>2023-03-07</x:v>
      </x:c>
      <x:c r="F441" t="str">
        <x:v>U400-DEETHANIZER-500</x:v>
      </x:c>
      <x:c r="G441" t="str">
        <x:v>TT-503</x:v>
      </x:c>
      <x:c r="H441" t="str">
        <x:v>reboiler outlet temperature tx</x:v>
      </x:c>
      <x:c r="I441" t="str">
        <x:v>instrument</x:v>
      </x:c>
      <x:c r="J441" t="str">
        <x:v>P3</x:v>
      </x:c>
      <x:c r="K441" t="str">
        <x:v>COMP</x:v>
      </x:c>
      <x:c r="L441" t="str">
        <x:v>ANLYZR</x:v>
      </x:c>
      <x:c r="M441" t="str">
        <x:v>reboiler_duty_loss</x:v>
      </x:c>
      <x:c r="N441" t="str">
        <x:v>loose wire</x:v>
      </x:c>
      <x:c r="O441" t="str">
        <x:v>SIGNAL</x:v>
      </x:c>
      <x:c r="P441" t="str">
        <x:v>ELEC</x:v>
      </x:c>
      <x:c r="Q441" t="str">
        <x:v>N</x:v>
      </x:c>
      <x:c r="R441" t="str">
        <x:v>14.7</x:v>
      </x:c>
      <x:c r="S441" t="str">
        <x:v>2327.06</x:v>
      </x:c>
      <x:c r="T441" t="str">
        <x:v>TT-503 not ok after reboiler duty loss</x:v>
      </x:c>
      <x:c r="U441" t="str">
        <x:v>night called for TT-503 reboiler outlet temperature tx, low heat seen during reboiler duty loss. Foud loose wire; term loose. opened strainer, cleaned black sludge. still little hunting but acceptable. notif made by ops, maint attended same shift.</x:v>
      </x:c>
    </x:row>
    <x:row r="442" ht="15" hidden="0" customHeight="1">
      <x:c r="A442" t="str">
        <x:v>10450441</x:v>
      </x:c>
      <x:c r="B442" t="str">
        <x:v>40870441</x:v>
      </x:c>
      <x:c r="C442" t="str">
        <x:v>2023-03-08</x:v>
      </x:c>
      <x:c r="D442" t="str">
        <x:v>2023-03-10</x:v>
      </x:c>
      <x:c r="E442" t="str">
        <x:v>2023-03-11</x:v>
      </x:c>
      <x:c r="F442" t="str">
        <x:v>U400-DEETHANIZER-500</x:v>
      </x:c>
      <x:c r="G442" t="str">
        <x:v>FV-502</x:v>
      </x:c>
      <x:c r="H442" t="str">
        <x:v>reflux flow control valve</x:v>
      </x:c>
      <x:c r="I442" t="str">
        <x:v>control_valve</x:v>
      </x:c>
      <x:c r="J442" t="str">
        <x:v>P2</x:v>
      </x:c>
      <x:c r="K442" t="str">
        <x:v>CLSD</x:v>
      </x:c>
      <x:c r="L442" t="str">
        <x:v>OPS+MECH</x:v>
      </x:c>
      <x:c r="M442" t="str">
        <x:v>reflux_pump_degradation</x:v>
      </x:c>
      <x:c r="N442" t="str">
        <x:v>stiction</x:v>
      </x:c>
      <x:c r="O442" t="str">
        <x:v>STICK</x:v>
      </x:c>
      <x:c r="P442" t="str">
        <x:v>PACKING</x:v>
      </x:c>
      <x:c r="Q442" t="str">
        <x:v>Y</x:v>
      </x:c>
      <x:c r="R442" t="str">
        <x:v>20.9</x:v>
      </x:c>
      <x:c r="S442" t="str">
        <x:v>5158.56</x:v>
      </x:c>
      <x:c r="T442" t="str">
        <x:v>FV-502 stiction again, prod upset</x:v>
      </x:c>
      <x:c r="U442" t="str">
        <x:v>C shift called for FV-502 reflux flow control valve, seal weep seen during reflux pump degradation. Foud stiction; stem sticky and pos err. No spare in store at first, used refurb one from shop. opened strainer, cleaned black sludge. temp repair only, plan shutdown job. notif made by ops, maint attended same shift.</x:v>
      </x:c>
    </x:row>
    <x:row r="443" ht="15" hidden="0" customHeight="1">
      <x:c r="A443" t="str">
        <x:v>10450442</x:v>
      </x:c>
      <x:c r="B443" t="str">
        <x:v>40870442</x:v>
      </x:c>
      <x:c r="C443" t="str">
        <x:v>2023-03-08</x:v>
      </x:c>
      <x:c r="D443" t="str">
        <x:v>2023-03-08</x:v>
      </x:c>
      <x:c r="E443" t="str">
        <x:v>2023-03-09</x:v>
      </x:c>
      <x:c r="F443" t="str">
        <x:v>U400-DEETHANIZER-500</x:v>
      </x:c>
      <x:c r="G443" t="str">
        <x:v>TV-501</x:v>
      </x:c>
      <x:c r="H443" t="str">
        <x:v>reboiler hot medium valve</x:v>
      </x:c>
      <x:c r="I443" t="str">
        <x:v>control_valve</x:v>
      </x:c>
      <x:c r="J443" t="str">
        <x:v>P3</x:v>
      </x:c>
      <x:c r="K443" t="str">
        <x:v>TECO</x:v>
      </x:c>
      <x:c r="L443" t="str">
        <x:v>OPS+MECH</x:v>
      </x:c>
      <x:c r="M443" t="str">
        <x:v>valve_stiction</x:v>
      </x:c>
      <x:c r="N443" t="str">
        <x:v>passing</x:v>
      </x:c>
      <x:c r="O443" t="str">
        <x:v>LEAK_BY</x:v>
      </x:c>
      <x:c r="P443" t="str">
        <x:v>SEAT</x:v>
      </x:c>
      <x:c r="Q443" t="str">
        <x:v>N</x:v>
      </x:c>
      <x:c r="R443" t="str">
        <x:v>4.3</x:v>
      </x:c>
      <x:c r="S443" t="str">
        <x:v>2949.91</x:v>
      </x:c>
      <x:c r="T443" t="str">
        <x:v>TV-501 air leak, passing</x:v>
      </x:c>
      <x:c r="U443" t="str">
        <x:v>A shift called for TV-501 rebiler hot medium valve, op jumps seen during valve stiction. Foud passing; seat leak by. calibrated, loop checked with CCR. temp repair only, plan shutdown job. notif made by ops, maint attended same shift.</x:v>
      </x:c>
    </x:row>
    <x:row r="444" ht="15" hidden="0" customHeight="1">
      <x:c r="A444" t="str">
        <x:v>10450443</x:v>
      </x:c>
      <x:c r="B444" t="str">
        <x:v>40870443</x:v>
      </x:c>
      <x:c r="C444" t="str">
        <x:v>2023-03-11</x:v>
      </x:c>
      <x:c r="D444" t="str">
        <x:v>2023-03-13</x:v>
      </x:c>
      <x:c r="E444" t="str">
        <x:v>2023-03-18</x:v>
      </x:c>
      <x:c r="F444" t="str">
        <x:v>U400-DEETHANIZER-500</x:v>
      </x:c>
      <x:c r="G444" t="str">
        <x:v>LV-501</x:v>
      </x:c>
      <x:c r="H444" t="str">
        <x:v>reflux drum level valve</x:v>
      </x:c>
      <x:c r="I444" t="str">
        <x:v>control_valve</x:v>
      </x:c>
      <x:c r="J444" t="str">
        <x:v>P2</x:v>
      </x:c>
      <x:c r="K444" t="str">
        <x:v>CLSD</x:v>
      </x:c>
      <x:c r="L444" t="str">
        <x:v>E&amp;I</x:v>
      </x:c>
      <x:c r="M444" t="str">
        <x:v>valve_stiction</x:v>
      </x:c>
      <x:c r="N444" t="str">
        <x:v>stiction</x:v>
      </x:c>
      <x:c r="O444" t="str">
        <x:v>STICK</x:v>
      </x:c>
      <x:c r="P444" t="str">
        <x:v>PACKING</x:v>
      </x:c>
      <x:c r="Q444" t="str">
        <x:v>N</x:v>
      </x:c>
      <x:c r="R444" t="str">
        <x:v>8.9</x:v>
      </x:c>
      <x:c r="S444" t="str">
        <x:v>5640.3</x:v>
      </x:c>
      <x:c r="T444" t="str">
        <x:v>chk LV-501 - stiction frm ops</x:v>
      </x:c>
      <x:c r="U444" t="str">
        <x:v>A shift called for LV-501 reflux drum level vavle, op jumps seen during vavle stiction. Foud stiction; stem sticky and pos err. flushed impulse/sample line. need watch next feed swing. notif made by ops, maint attended same shift.</x:v>
      </x:c>
    </x:row>
    <x:row r="445" ht="15" hidden="0" customHeight="1">
      <x:c r="A445" t="str">
        <x:v>10450444</x:v>
      </x:c>
      <x:c r="B445" t="str">
        <x:v>40870444</x:v>
      </x:c>
      <x:c r="C445" t="str">
        <x:v>2023-03-13</x:v>
      </x:c>
      <x:c r="D445" t="str">
        <x:v>2023-03-13</x:v>
      </x:c>
      <x:c r="E445" t="str">
        <x:v>2023-03-20</x:v>
      </x:c>
      <x:c r="F445" t="str">
        <x:v>U400-DEETHANIZER-500</x:v>
      </x:c>
      <x:c r="G445" t="str">
        <x:v>PV-501</x:v>
      </x:c>
      <x:c r="H445" t="str">
        <x:v>column pressure control valve</x:v>
      </x:c>
      <x:c r="I445" t="str">
        <x:v>control_valve</x:v>
      </x:c>
      <x:c r="J445" t="str">
        <x:v>P4</x:v>
      </x:c>
      <x:c r="K445" t="str">
        <x:v>COMP</x:v>
      </x:c>
      <x:c r="L445" t="str">
        <x:v>MECH</x:v>
      </x:c>
      <x:c r="M445" t="str">
        <x:v>feed_temperature_ramp</x:v>
      </x:c>
      <x:c r="N445" t="str">
        <x:v>hunting loop</x:v>
      </x:c>
      <x:c r="O445" t="str">
        <x:v>CTRL_OSC</x:v>
      </x:c>
      <x:c r="P445" t="str">
        <x:v>TUNE</x:v>
      </x:c>
      <x:c r="Q445" t="str">
        <x:v>N</x:v>
      </x:c>
      <x:c r="R445" t="str">
        <x:v>8.6</x:v>
      </x:c>
      <x:c r="S445" t="str">
        <x:v>3227.93</x:v>
      </x:c>
      <x:c r="T445" t="str">
        <x:v>PV-501 hunting loop again, prod upset</x:v>
      </x:c>
      <x:c r="U445" t="str">
        <x:v>A shift called for PV-501 column pressure control valve, rb duty up seen during feed temp ramp. Foud hunting loop; bad response after upset. No spare in store at first, used refurb one from shop. changed gasket and boxed up. need watch next feed swing. notif made by ops, maint attended same shift.</x:v>
      </x:c>
    </x:row>
    <x:row r="446" ht="15" hidden="0" customHeight="1">
      <x:c r="A446" t="str">
        <x:v>10450445</x:v>
      </x:c>
      <x:c r="B446" t="str">
        <x:v>40870445</x:v>
      </x:c>
      <x:c r="C446" t="str">
        <x:v>2023-03-14</x:v>
      </x:c>
      <x:c r="D446" t="str">
        <x:v>2023-03-14</x:v>
      </x:c>
      <x:c r="E446" t="str">
        <x:v>2023-03-17</x:v>
      </x:c>
      <x:c r="F446" t="str">
        <x:v>U400-DEETHANIZER-500</x:v>
      </x:c>
      <x:c r="G446" t="str">
        <x:v>FV-501</x:v>
      </x:c>
      <x:c r="H446" t="str">
        <x:v>feed flow control valve</x:v>
      </x:c>
      <x:c r="I446" t="str">
        <x:v>control_valve</x:v>
      </x:c>
      <x:c r="J446" t="str">
        <x:v>P4</x:v>
      </x:c>
      <x:c r="K446" t="str">
        <x:v>TECO</x:v>
      </x:c>
      <x:c r="L446" t="str">
        <x:v>ROT</x:v>
      </x:c>
      <x:c r="M446" t="str">
        <x:v>condenser_fouling</x:v>
      </x:c>
      <x:c r="N446" t="str">
        <x:v>air leak</x:v>
      </x:c>
      <x:c r="O446" t="str">
        <x:v>AIR_LEAK</x:v>
      </x:c>
      <x:c r="P446" t="str">
        <x:v>TUBING</x:v>
      </x:c>
      <x:c r="Q446" t="str">
        <x:v>N</x:v>
      </x:c>
      <x:c r="R446" t="str">
        <x:v>13.8</x:v>
      </x:c>
      <x:c r="S446" t="str">
        <x:v>2025.67</x:v>
      </x:c>
      <x:c r="T446" t="str">
        <x:v>chk FV-501 - air leak frm ops</x:v>
      </x:c>
      <x:c r="U446" t="str">
        <x:v>night called for FV-501 feed flow ctrl valve, cond not pullng seen during condenser fouling. Foud air leak; positioner supply drop. calibrated, loop checked with CCR. ops says ok for now. notif made by ops, maint attended same shift.</x:v>
      </x:c>
    </x:row>
    <x:row r="447" ht="15" hidden="0" customHeight="1">
      <x:c r="A447" t="str">
        <x:v>10450446</x:v>
      </x:c>
      <x:c r="B447" t="str">
        <x:v>40870446</x:v>
      </x:c>
      <x:c r="C447" t="str">
        <x:v>2023-03-15</x:v>
      </x:c>
      <x:c r="D447" t="str">
        <x:v>2023-03-16</x:v>
      </x:c>
      <x:c r="E447" t="str">
        <x:v>2023-03-21</x:v>
      </x:c>
      <x:c r="F447" t="str">
        <x:v>U400-DEETHANIZER-500</x:v>
      </x:c>
      <x:c r="G447" t="str">
        <x:v>E-501</x:v>
      </x:c>
      <x:c r="H447" t="str">
        <x:v>deethanizer reboiler</x:v>
      </x:c>
      <x:c r="I447" t="str">
        <x:v>reboiler</x:v>
      </x:c>
      <x:c r="J447" t="str">
        <x:v>P4</x:v>
      </x:c>
      <x:c r="K447" t="str">
        <x:v>COMP</x:v>
      </x:c>
      <x:c r="L447" t="str">
        <x:v>OPS+MECH</x:v>
      </x:c>
      <x:c r="M447" t="str">
        <x:v>reboiler_duty_loss</x:v>
      </x:c>
      <x:c r="N447" t="str">
        <x:v>circ poor</x:v>
      </x:c>
      <x:c r="O447" t="str">
        <x:v>NO_FLOW</x:v>
      </x:c>
      <x:c r="P447" t="str">
        <x:v>PLUG</x:v>
      </x:c>
      <x:c r="Q447" t="str">
        <x:v>N</x:v>
      </x:c>
      <x:c r="R447" t="str">
        <x:v>15.4</x:v>
      </x:c>
      <x:c r="S447" t="str">
        <x:v>9652.94</x:v>
      </x:c>
      <x:c r="T447" t="str">
        <x:v>E-501 c2 in btm, circ poor</x:v>
      </x:c>
      <x:c r="U447" t="str">
        <x:v>night called for E-501 deethanizer reboiler, tray temp low seen during reboiler duty loss. Foud circ poor; blocked inlet screen. cleaned and put back online. still little hunting but acceptable. notif made by ops, maint attended same shift.</x:v>
      </x:c>
    </x:row>
    <x:row r="448" ht="15" hidden="0" customHeight="1">
      <x:c r="A448" t="str">
        <x:v>10450447</x:v>
      </x:c>
      <x:c r="B448" t="str">
        <x:v>40870447</x:v>
      </x:c>
      <x:c r="C448" t="str">
        <x:v>2023-03-14</x:v>
      </x:c>
      <x:c r="D448" t="str">
        <x:v>2023-03-14</x:v>
      </x:c>
      <x:c r="E448" t="str">
        <x:v>2023-03-14</x:v>
      </x:c>
      <x:c r="F448" t="str">
        <x:v>U400-DEETHANIZER-500</x:v>
      </x:c>
      <x:c r="G448" t="str">
        <x:v>AIT-502</x:v>
      </x:c>
      <x:c r="H448" t="str">
        <x:v>bottoms C3+ analyzer</x:v>
      </x:c>
      <x:c r="I448" t="str">
        <x:v>analyzer</x:v>
      </x:c>
      <x:c r="J448" t="str">
        <x:v>P2</x:v>
      </x:c>
      <x:c r="K448" t="str">
        <x:v>TECO</x:v>
      </x:c>
      <x:c r="L448" t="str">
        <x:v>E&amp;I</x:v>
      </x:c>
      <x:c r="M448" t="str">
        <x:v>feed_composition_shift</x:v>
      </x:c>
      <x:c r="N448" t="str">
        <x:v>anlyzr drift</x:v>
      </x:c>
      <x:c r="O448" t="str">
        <x:v>DRIFT</x:v>
      </x:c>
      <x:c r="P448" t="str">
        <x:v>CAL_GAS</x:v>
      </x:c>
      <x:c r="Q448" t="str">
        <x:v>N</x:v>
      </x:c>
      <x:c r="R448" t="str">
        <x:v>14.9</x:v>
      </x:c>
      <x:c r="S448" t="str">
        <x:v>3957.1</x:v>
      </x:c>
      <x:c r="T448" t="str">
        <x:v>AIT-502 anlyzr drift ops req</x:v>
      </x:c>
      <x:c r="U448" t="str">
        <x:v>days called for AIT-502 bottoms C3+ analyzer, ovhd c3 slip seen during feed composition shift. Foud anlyzr drift; cal gas failed. History shows same complain last mnth. opened strainer, cleaned black sludge. no leak at handover. notif made by ops, maint attended same shift.</x:v>
      </x:c>
    </x:row>
    <x:row r="449" ht="15" hidden="0" customHeight="1">
      <x:c r="A449" t="str">
        <x:v>10450448</x:v>
      </x:c>
      <x:c r="B449" t="str">
        <x:v>40870448</x:v>
      </x:c>
      <x:c r="C449" t="str">
        <x:v>2023-03-18</x:v>
      </x:c>
      <x:c r="D449" t="str">
        <x:v>2023-03-18</x:v>
      </x:c>
      <x:c r="E449" t="str">
        <x:v>2023-03-18</x:v>
      </x:c>
      <x:c r="F449" t="str">
        <x:v>U400-DEETHANIZER-500</x:v>
      </x:c>
      <x:c r="G449" t="str">
        <x:v>E-502</x:v>
      </x:c>
      <x:c r="H449" t="str">
        <x:v>deethanizer overhead condenser</x:v>
      </x:c>
      <x:c r="I449" t="str">
        <x:v>condenser</x:v>
      </x:c>
      <x:c r="J449" t="str">
        <x:v>P2</x:v>
      </x:c>
      <x:c r="K449" t="str">
        <x:v>CLSD</x:v>
      </x:c>
      <x:c r="L449" t="str">
        <x:v>ANLYZR</x:v>
      </x:c>
      <x:c r="M449" t="str">
        <x:v>reflux_pump_degradation</x:v>
      </x:c>
      <x:c r="N449" t="str">
        <x:v>cw fouling</x:v>
      </x:c>
      <x:c r="O449" t="str">
        <x:v>FOULING</x:v>
      </x:c>
      <x:c r="P449" t="str">
        <x:v>UTILITY</x:v>
      </x:c>
      <x:c r="Q449" t="str">
        <x:v>Y</x:v>
      </x:c>
      <x:c r="R449" t="str">
        <x:v>7.9</x:v>
      </x:c>
      <x:c r="S449" t="str">
        <x:v>7654.29</x:v>
      </x:c>
      <x:c r="T449" t="str">
        <x:v>E-502 not ok after reflux pump degradation</x:v>
      </x:c>
      <x:c r="U449" t="str">
        <x:v>B shift called for E-502 deethanizer overhead condenser, seal weep seen during reflux pump degradation. Foud cw fouling; cw side scaled. stroke tested, response better. temp repair only, plan shutdown job. notif made by ops, maint attended same shift.</x:v>
      </x:c>
    </x:row>
    <x:row r="450" ht="15" hidden="0" customHeight="1">
      <x:c r="A450" t="str">
        <x:v>10450449</x:v>
      </x:c>
      <x:c r="B450" t="str">
        <x:v>40870449</x:v>
      </x:c>
      <x:c r="C450" t="str">
        <x:v>2023-03-17</x:v>
      </x:c>
      <x:c r="D450" t="str">
        <x:v>2023-03-19</x:v>
      </x:c>
      <x:c r="E450" t="str">
        <x:v>2023-03-26</x:v>
      </x:c>
      <x:c r="F450" t="str">
        <x:v>U400-DEETHANIZER-500</x:v>
      </x:c>
      <x:c r="G450" t="str">
        <x:v>E-501</x:v>
      </x:c>
      <x:c r="H450" t="str">
        <x:v>deethanizer reboiler</x:v>
      </x:c>
      <x:c r="I450" t="str">
        <x:v>reboiler</x:v>
      </x:c>
      <x:c r="J450" t="str">
        <x:v>P3</x:v>
      </x:c>
      <x:c r="K450" t="str">
        <x:v>TECO</x:v>
      </x:c>
      <x:c r="L450" t="str">
        <x:v>VALVE</x:v>
      </x:c>
      <x:c r="M450" t="str">
        <x:v>feed_temperature_ramp</x:v>
      </x:c>
      <x:c r="N450" t="str">
        <x:v>circ poor</x:v>
      </x:c>
      <x:c r="O450" t="str">
        <x:v>NO_FLOW</x:v>
      </x:c>
      <x:c r="P450" t="str">
        <x:v>PLUG</x:v>
      </x:c>
      <x:c r="Q450" t="str">
        <x:v>N</x:v>
      </x:c>
      <x:c r="R450" t="str">
        <x:v>14.8</x:v>
      </x:c>
      <x:c r="S450" t="str">
        <x:v>12082.88</x:v>
      </x:c>
      <x:c r="T450" t="str">
        <x:v>E-501 not ok after feed temperature ramp</x:v>
      </x:c>
      <x:c r="U450" t="str">
        <x:v>B shift called for E-501 deethanizer reboiler, rb duty up seen during feed temperature ramp. Foud circ poor; blocked inlet screen. swapped to standby and repaired. temp repair only, plan shutdown job. notif made by ops, maint attended same shift.</x:v>
      </x:c>
    </x:row>
    <x:row r="451" ht="15" hidden="0" customHeight="1">
      <x:c r="A451" t="str">
        <x:v>10450450</x:v>
      </x:c>
      <x:c r="B451" t="str">
        <x:v>40870450</x:v>
      </x:c>
      <x:c r="C451" t="str">
        <x:v>2023-03-23</x:v>
      </x:c>
      <x:c r="D451" t="str">
        <x:v>2023-03-24</x:v>
      </x:c>
      <x:c r="E451" t="str">
        <x:v>2023-03-25</x:v>
      </x:c>
      <x:c r="F451" t="str">
        <x:v>U400-DEETHANIZER-500</x:v>
      </x:c>
      <x:c r="G451" t="str">
        <x:v>TT-503</x:v>
      </x:c>
      <x:c r="H451" t="str">
        <x:v>reboiler outlet temperature tx</x:v>
      </x:c>
      <x:c r="I451" t="str">
        <x:v>instrument</x:v>
      </x:c>
      <x:c r="J451" t="str">
        <x:v>P2</x:v>
      </x:c>
      <x:c r="K451" t="str">
        <x:v>COMP</x:v>
      </x:c>
      <x:c r="L451" t="str">
        <x:v>E&amp;I</x:v>
      </x:c>
      <x:c r="M451" t="str">
        <x:v>reboiler_duty_loss</x:v>
      </x:c>
      <x:c r="N451" t="str">
        <x:v>bad reading</x:v>
      </x:c>
      <x:c r="O451" t="str">
        <x:v>DRIFT</x:v>
      </x:c>
      <x:c r="P451" t="str">
        <x:v>CAL</x:v>
      </x:c>
      <x:c r="Q451" t="str">
        <x:v>N</x:v>
      </x:c>
      <x:c r="R451" t="str">
        <x:v>10.0</x:v>
      </x:c>
      <x:c r="S451" t="str">
        <x:v>5154.45</x:v>
      </x:c>
      <x:c r="T451" t="str">
        <x:v>TT-503 bad reading after upset</x:v>
      </x:c>
      <x:c r="U451" t="str">
        <x:v>B shift called for TT-503 reboiler outlet temperature tx, low heat seen during reboiler duty loss. Foud bad reading; needs calib. opened strainer, cleaned black sludge. ops says ok for now. notif made by ops, maint attended same shift.</x:v>
      </x:c>
    </x:row>
    <x:row r="452" ht="15" hidden="0" customHeight="1">
      <x:c r="A452" t="str">
        <x:v>10450451</x:v>
      </x:c>
      <x:c r="B452" t="str">
        <x:v>40870451</x:v>
      </x:c>
      <x:c r="C452" t="str">
        <x:v>2023-03-20</x:v>
      </x:c>
      <x:c r="D452" t="str">
        <x:v>2023-03-20</x:v>
      </x:c>
      <x:c r="E452" t="str">
        <x:v>2023-03-23</x:v>
      </x:c>
      <x:c r="F452" t="str">
        <x:v>U400-DEETHANIZER-500</x:v>
      </x:c>
      <x:c r="G452" t="str">
        <x:v>E-502</x:v>
      </x:c>
      <x:c r="H452" t="str">
        <x:v>deethanizer overhead condenser</x:v>
      </x:c>
      <x:c r="I452" t="str">
        <x:v>condenser</x:v>
      </x:c>
      <x:c r="J452" t="str">
        <x:v>P2</x:v>
      </x:c>
      <x:c r="K452" t="str">
        <x:v>COMP</x:v>
      </x:c>
      <x:c r="L452" t="str">
        <x:v>MECH</x:v>
      </x:c>
      <x:c r="M452" t="str">
        <x:v>valve_stiction</x:v>
      </x:c>
      <x:c r="N452" t="str">
        <x:v>tv no travel</x:v>
      </x:c>
      <x:c r="O452" t="str">
        <x:v>VALVE</x:v>
      </x:c>
      <x:c r="P452" t="str">
        <x:v>STICK</x:v>
      </x:c>
      <x:c r="Q452" t="str">
        <x:v>Y</x:v>
      </x:c>
      <x:c r="R452" t="str">
        <x:v>14.8</x:v>
      </x:c>
      <x:c r="S452" t="str">
        <x:v>1757.25</x:v>
      </x:c>
      <x:c r="T452" t="str">
        <x:v>E-502 op jumps, tv no travel</x:v>
      </x:c>
      <x:c r="U452" t="str">
        <x:v>B shift called for E-502 deethanizer overhead condenser, valve sticking seen during valve stiction. Foud tv no travel; cooling valve stuck. cleaned and put back online. still little hunting but acceptable. notif made by ops, maint attended same shift.</x:v>
      </x:c>
    </x:row>
    <x:row r="453" ht="15" hidden="0" customHeight="1">
      <x:c r="A453" t="str">
        <x:v>10450452</x:v>
      </x:c>
      <x:c r="B453" t="str">
        <x:v>40870452</x:v>
      </x:c>
      <x:c r="C453" t="str">
        <x:v>2023-03-24</x:v>
      </x:c>
      <x:c r="D453" t="str">
        <x:v>2023-03-24</x:v>
      </x:c>
      <x:c r="E453" t="str">
        <x:v>2023-04-07</x:v>
      </x:c>
      <x:c r="F453" t="str">
        <x:v>U400-DEETHANIZER-500</x:v>
      </x:c>
      <x:c r="G453" t="str">
        <x:v>FV-501</x:v>
      </x:c>
      <x:c r="H453" t="str">
        <x:v>feed flow control valve</x:v>
      </x:c>
      <x:c r="I453" t="str">
        <x:v>control_valve</x:v>
      </x:c>
      <x:c r="J453" t="str">
        <x:v>P3</x:v>
      </x:c>
      <x:c r="K453" t="str">
        <x:v>COMP</x:v>
      </x:c>
      <x:c r="L453" t="str">
        <x:v>MECH</x:v>
      </x:c>
      <x:c r="M453" t="str">
        <x:v>feed_flow_step</x:v>
      </x:c>
      <x:c r="N453" t="str">
        <x:v>passing</x:v>
      </x:c>
      <x:c r="O453" t="str">
        <x:v>LEAK_BY</x:v>
      </x:c>
      <x:c r="P453" t="str">
        <x:v>SEAT</x:v>
      </x:c>
      <x:c r="Q453" t="str">
        <x:v>N</x:v>
      </x:c>
      <x:c r="R453" t="str">
        <x:v>3.9</x:v>
      </x:c>
      <x:c r="S453" t="str">
        <x:v>5139.07</x:v>
      </x:c>
      <x:c r="T453" t="str">
        <x:v>chk FV-501 - passing frm ops</x:v>
      </x:c>
      <x:c r="U453" t="str">
        <x:v>night called for FV-501 feed flow control valve, column dp high seen during feed flow step. Foud passing; seat leak by. opened strainer, cleaned black sludge. ops says ok for now. notif made by ops, maint attended same shift.</x:v>
      </x:c>
    </x:row>
    <x:row r="454" ht="15" hidden="0" customHeight="1">
      <x:c r="A454" t="str">
        <x:v>10450453</x:v>
      </x:c>
      <x:c r="B454" t="str">
        <x:v>40870453</x:v>
      </x:c>
      <x:c r="C454" t="str">
        <x:v>2023-03-25</x:v>
      </x:c>
      <x:c r="D454" t="str">
        <x:v>2023-03-25</x:v>
      </x:c>
      <x:c r="E454" t="str">
        <x:v>2023-03-26</x:v>
      </x:c>
      <x:c r="F454" t="str">
        <x:v>U400-DEETHANIZER-500</x:v>
      </x:c>
      <x:c r="G454" t="str">
        <x:v>T-501</x:v>
      </x:c>
      <x:c r="H454" t="str">
        <x:v>deethanizer column</x:v>
      </x:c>
      <x:c r="I454" t="str">
        <x:v>column</x:v>
      </x:c>
      <x:c r="J454" t="str">
        <x:v>P3</x:v>
      </x:c>
      <x:c r="K454" t="str">
        <x:v>COMP</x:v>
      </x:c>
      <x:c r="L454" t="str">
        <x:v>E&amp;I</x:v>
      </x:c>
      <x:c r="M454" t="str">
        <x:v>feed_composition_shift</x:v>
      </x:c>
      <x:c r="N454" t="str">
        <x:v>tray temp bad</x:v>
      </x:c>
      <x:c r="O454" t="str">
        <x:v>TEMP_DEV</x:v>
      </x:c>
      <x:c r="P454" t="str">
        <x:v>PROCESS</x:v>
      </x:c>
      <x:c r="Q454" t="str">
        <x:v>N</x:v>
      </x:c>
      <x:c r="R454" t="str">
        <x:v>3.0</x:v>
      </x:c>
      <x:c r="S454" t="str">
        <x:v>1179.49</x:v>
      </x:c>
      <x:c r="T454" t="str">
        <x:v>T-501 tray temp bad again, prod upset</x:v>
      </x:c>
      <x:c r="U454" t="str">
        <x:v>night called for T-501 deethanizer column, anlyzr off seen during feed composition shift. Foud tray temp bad; profile not normal. History shows same complain last mnth. stroke tested, response better. ops says ok for now. notif made by ops, maint attended same shift.</x:v>
      </x:c>
    </x:row>
    <x:row r="455" ht="15" hidden="0" customHeight="1">
      <x:c r="A455" t="str">
        <x:v>10450454</x:v>
      </x:c>
      <x:c r="B455" t="str">
        <x:v>40870454</x:v>
      </x:c>
      <x:c r="C455" t="str">
        <x:v>2023-03-27</x:v>
      </x:c>
      <x:c r="D455" t="str">
        <x:v>2023-03-27</x:v>
      </x:c>
      <x:c r="E455" t="str">
        <x:v>2023-03-27</x:v>
      </x:c>
      <x:c r="F455" t="str">
        <x:v>U400-DEETHANIZER-500</x:v>
      </x:c>
      <x:c r="G455" t="str">
        <x:v>FT-502</x:v>
      </x:c>
      <x:c r="H455" t="str">
        <x:v>reflux flow transmitter</x:v>
      </x:c>
      <x:c r="I455" t="str">
        <x:v>instrument</x:v>
      </x:c>
      <x:c r="J455" t="str">
        <x:v>P3</x:v>
      </x:c>
      <x:c r="K455" t="str">
        <x:v>CLSD</x:v>
      </x:c>
      <x:c r="L455" t="str">
        <x:v>OPS+INST</x:v>
      </x:c>
      <x:c r="M455" t="str">
        <x:v>reflux_pump_degradation</x:v>
      </x:c>
      <x:c r="N455" t="str">
        <x:v>no signal</x:v>
      </x:c>
      <x:c r="O455" t="str">
        <x:v>NO_SIGNAL</x:v>
      </x:c>
      <x:c r="P455" t="str">
        <x:v>ELEC</x:v>
      </x:c>
      <x:c r="Q455" t="str">
        <x:v>N</x:v>
      </x:c>
      <x:c r="R455" t="str">
        <x:v>17.8</x:v>
      </x:c>
      <x:c r="S455" t="str">
        <x:v>1552.35</x:v>
      </x:c>
      <x:c r="T455" t="str">
        <x:v>chk FT-502 - no signal frm ops</x:v>
      </x:c>
      <x:c r="U455" t="str">
        <x:v>B shift called for FT-502 reflux flow transmitter, min flow hot seen during reflux pump degradation. Foud no signal; 24v or card issue. changed gasket and boxed up. no leak at handover. notif made by ops, maint attended same shift.</x:v>
      </x:c>
    </x:row>
    <x:row r="456" ht="15" hidden="0" customHeight="1">
      <x:c r="A456" t="str">
        <x:v>10450455</x:v>
      </x:c>
      <x:c r="B456" t="str">
        <x:v>40870455</x:v>
      </x:c>
      <x:c r="C456" t="str">
        <x:v>2023-03-29</x:v>
      </x:c>
      <x:c r="D456" t="str">
        <x:v>2023-03-30</x:v>
      </x:c>
      <x:c r="E456" t="str">
        <x:v>2023-03-30</x:v>
      </x:c>
      <x:c r="F456" t="str">
        <x:v>U400-DEETHANIZER-500</x:v>
      </x:c>
      <x:c r="G456" t="str">
        <x:v>TV-502</x:v>
      </x:c>
      <x:c r="H456" t="str">
        <x:v>condenser cooling valve</x:v>
      </x:c>
      <x:c r="I456" t="str">
        <x:v>control_valve</x:v>
      </x:c>
      <x:c r="J456" t="str">
        <x:v>P2</x:v>
      </x:c>
      <x:c r="K456" t="str">
        <x:v>TECO</x:v>
      </x:c>
      <x:c r="L456" t="str">
        <x:v>INST</x:v>
      </x:c>
      <x:c r="M456" t="str">
        <x:v>condenser_fouling</x:v>
      </x:c>
      <x:c r="N456" t="str">
        <x:v>not stroking</x:v>
      </x:c>
      <x:c r="O456" t="str">
        <x:v>NO_TRAVEL</x:v>
      </x:c>
      <x:c r="P456" t="str">
        <x:v>ACT</x:v>
      </x:c>
      <x:c r="Q456" t="str">
        <x:v>N</x:v>
      </x:c>
      <x:c r="R456" t="str">
        <x:v>12.3</x:v>
      </x:c>
      <x:c r="S456" t="str">
        <x:v>4514.79</x:v>
      </x:c>
      <x:c r="T456" t="str">
        <x:v>TV-502 not ok after condenser fouling</x:v>
      </x:c>
      <x:c r="U456" t="str">
        <x:v>night called for TV-502 condnsr cooling valve, high ovhd press seen during condnsr fouling. Foud not stroking; actuator weak. reset trip and monitored for 2 hrs. need watch next feed swing. notif made by ops, maint attended same shift.</x:v>
      </x:c>
    </x:row>
    <x:row r="457" ht="15" hidden="0" customHeight="1">
      <x:c r="A457" t="str">
        <x:v>10450456</x:v>
      </x:c>
      <x:c r="B457" t="str">
        <x:v>40870456</x:v>
      </x:c>
      <x:c r="C457" t="str">
        <x:v>2023-03-27</x:v>
      </x:c>
      <x:c r="D457" t="str">
        <x:v>2023-03-27</x:v>
      </x:c>
      <x:c r="E457" t="str">
        <x:v>2023-03-28</x:v>
      </x:c>
      <x:c r="F457" t="str">
        <x:v>U400-DEETHANIZER-500</x:v>
      </x:c>
      <x:c r="G457" t="str">
        <x:v>LV-501</x:v>
      </x:c>
      <x:c r="H457" t="str">
        <x:v>reflux drum level valve</x:v>
      </x:c>
      <x:c r="I457" t="str">
        <x:v>control_valve</x:v>
      </x:c>
      <x:c r="J457" t="str">
        <x:v>P3</x:v>
      </x:c>
      <x:c r="K457" t="str">
        <x:v>CLSD</x:v>
      </x:c>
      <x:c r="L457" t="str">
        <x:v>OPS+INST</x:v>
      </x:c>
      <x:c r="M457" t="str">
        <x:v>valve_stiction</x:v>
      </x:c>
      <x:c r="N457" t="str">
        <x:v>passing</x:v>
      </x:c>
      <x:c r="O457" t="str">
        <x:v>LEAK_BY</x:v>
      </x:c>
      <x:c r="P457" t="str">
        <x:v>SEAT</x:v>
      </x:c>
      <x:c r="Q457" t="str">
        <x:v>N</x:v>
      </x:c>
      <x:c r="R457" t="str">
        <x:v>11.5</x:v>
      </x:c>
      <x:c r="S457" t="str">
        <x:v>6479.39</x:v>
      </x:c>
      <x:c r="T457" t="str">
        <x:v>chk LV-501 - passing frm ops</x:v>
      </x:c>
      <x:c r="U457" t="str">
        <x:v>A shift called for LV-501 reflux drum level valve, op jumps seen during valve stiction. Foud passing; seat leak by. History shows same complain last mnth. replaced positioner tubing and retuned small. need watch next feed swing. notif made by ops, maint attended same shift.</x:v>
      </x:c>
    </x:row>
    <x:row r="458" ht="15" hidden="0" customHeight="1">
      <x:c r="A458" t="str">
        <x:v>10450457</x:v>
      </x:c>
      <x:c r="B458" t="str">
        <x:v>40870457</x:v>
      </x:c>
      <x:c r="C458" t="str">
        <x:v>2023-03-28</x:v>
      </x:c>
      <x:c r="D458" t="str">
        <x:v>2023-03-28</x:v>
      </x:c>
      <x:c r="E458" t="str">
        <x:v>2023-03-30</x:v>
      </x:c>
      <x:c r="F458" t="str">
        <x:v>U400-DEETHANIZER-500</x:v>
      </x:c>
      <x:c r="G458" t="str">
        <x:v>TV-501</x:v>
      </x:c>
      <x:c r="H458" t="str">
        <x:v>reboiler hot medium valve</x:v>
      </x:c>
      <x:c r="I458" t="str">
        <x:v>control_valve</x:v>
      </x:c>
      <x:c r="J458" t="str">
        <x:v>P2</x:v>
      </x:c>
      <x:c r="K458" t="str">
        <x:v>CLSD</x:v>
      </x:c>
      <x:c r="L458" t="str">
        <x:v>ROT</x:v>
      </x:c>
      <x:c r="M458" t="str">
        <x:v>feed_temperature_ramp</x:v>
      </x:c>
      <x:c r="N458" t="str">
        <x:v>stiction</x:v>
      </x:c>
      <x:c r="O458" t="str">
        <x:v>STICK</x:v>
      </x:c>
      <x:c r="P458" t="str">
        <x:v>PACKING</x:v>
      </x:c>
      <x:c r="Q458" t="str">
        <x:v>N</x:v>
      </x:c>
      <x:c r="R458" t="str">
        <x:v>12.9</x:v>
      </x:c>
      <x:c r="S458" t="str">
        <x:v>1094.94</x:v>
      </x:c>
      <x:c r="T458" t="str">
        <x:v>TV-501 spec off, stiction</x:v>
      </x:c>
      <x:c r="U458" t="str">
        <x:v>days called for TV-501 rebiler hot medium valve, feed temp high seen during feed temperature ramp. Foud stiction; stem sticky and pos err. Could not get permit first time waiting area gas test. reset trip and monitored for 2 hrs. unit stable now. notif made by ops, maint attended same shift.</x:v>
      </x:c>
    </x:row>
    <x:row r="459" ht="15" hidden="0" customHeight="1">
      <x:c r="A459" t="str">
        <x:v>10450458</x:v>
      </x:c>
      <x:c r="B459" t="str">
        <x:v>40870458</x:v>
      </x:c>
      <x:c r="C459" t="str">
        <x:v>2023-04-04</x:v>
      </x:c>
      <x:c r="D459" t="str">
        <x:v>2023-04-05</x:v>
      </x:c>
      <x:c r="E459" t="str">
        <x:v>2023-04-19</x:v>
      </x:c>
      <x:c r="F459" t="str">
        <x:v>U400-DEETHANIZER-500</x:v>
      </x:c>
      <x:c r="G459" t="str">
        <x:v>T-501</x:v>
      </x:c>
      <x:c r="H459" t="str">
        <x:v>deethanizer column</x:v>
      </x:c>
      <x:c r="I459" t="str">
        <x:v>column</x:v>
      </x:c>
      <x:c r="J459" t="str">
        <x:v>P3</x:v>
      </x:c>
      <x:c r="K459" t="str">
        <x:v>CLSD</x:v>
      </x:c>
      <x:c r="L459" t="str">
        <x:v>VALVE</x:v>
      </x:c>
      <x:c r="M459" t="str">
        <x:v>reflux_pump_degradation</x:v>
      </x:c>
      <x:c r="N459" t="str">
        <x:v>level unstable</x:v>
      </x:c>
      <x:c r="O459" t="str">
        <x:v>LVL_SWING</x:v>
      </x:c>
      <x:c r="P459" t="str">
        <x:v>CTRL</x:v>
      </x:c>
      <x:c r="Q459" t="str">
        <x:v>N</x:v>
      </x:c>
      <x:c r="R459" t="str">
        <x:v>1.6</x:v>
      </x:c>
      <x:c r="S459" t="str">
        <x:v>221.66</x:v>
      </x:c>
      <x:c r="T459" t="str">
        <x:v>T-501 level unstable temp fix</x:v>
      </x:c>
      <x:c r="U459" t="str">
        <x:v>B shift called for T-501 deethanizer column, disch press low seen during reflux pump degradation. Foud level unstable; sump level swing. stroke tested, response better. ops says ok for now. notif made by ops, maint attended same shift.</x:v>
      </x:c>
    </x:row>
    <x:row r="460" ht="15" hidden="0" customHeight="1">
      <x:c r="A460" t="str">
        <x:v>10450459</x:v>
      </x:c>
      <x:c r="B460" t="str">
        <x:v>40870459</x:v>
      </x:c>
      <x:c r="C460" t="str">
        <x:v>2023-03-31</x:v>
      </x:c>
      <x:c r="D460" t="str">
        <x:v>2023-03-31</x:v>
      </x:c>
      <x:c r="E460" t="str">
        <x:v>2023-04-01</x:v>
      </x:c>
      <x:c r="F460" t="str">
        <x:v>U400-DEETHANIZER-500</x:v>
      </x:c>
      <x:c r="G460" t="str">
        <x:v>FT-501</x:v>
      </x:c>
      <x:c r="H460" t="str">
        <x:v>feed flow transmitter</x:v>
      </x:c>
      <x:c r="I460" t="str">
        <x:v>instrument</x:v>
      </x:c>
      <x:c r="J460" t="str">
        <x:v>P2</x:v>
      </x:c>
      <x:c r="K460" t="str">
        <x:v>COMP</x:v>
      </x:c>
      <x:c r="L460" t="str">
        <x:v>ANLYZR</x:v>
      </x:c>
      <x:c r="M460" t="str">
        <x:v>normal_wear</x:v>
      </x:c>
      <x:c r="N460" t="str">
        <x:v>impulse plugged</x:v>
      </x:c>
      <x:c r="O460" t="str">
        <x:v>PLUG</x:v>
      </x:c>
      <x:c r="P460" t="str">
        <x:v>PROCESS</x:v>
      </x:c>
      <x:c r="Q460" t="str">
        <x:v>N</x:v>
      </x:c>
      <x:c r="R460" t="str">
        <x:v>12.5</x:v>
      </x:c>
      <x:c r="S460" t="str">
        <x:v>2637.5</x:v>
      </x:c>
      <x:c r="T460" t="str">
        <x:v>FT-501 impulse plugged again, prod upset</x:v>
      </x:c>
      <x:c r="U460" t="str">
        <x:v>B shift called for FT-501 feed flow transmitter, loose term seen during normal wear. Foud impulse plugged; tap/line dirty. reset trip and monitored for 2 hrs. still little hunting but acceptable. notif made by ops, maint attended same shift.</x:v>
      </x:c>
    </x:row>
    <x:row r="461" ht="15" hidden="0" customHeight="1">
      <x:c r="A461" t="str">
        <x:v>10450460</x:v>
      </x:c>
      <x:c r="B461" t="str">
        <x:v>40870460</x:v>
      </x:c>
      <x:c r="C461" t="str">
        <x:v>2023-04-04</x:v>
      </x:c>
      <x:c r="D461" t="str">
        <x:v>2023-04-04</x:v>
      </x:c>
      <x:c r="E461" t="str">
        <x:v>2023-04-06</x:v>
      </x:c>
      <x:c r="F461" t="str">
        <x:v>U400-DEETHANIZER-500</x:v>
      </x:c>
      <x:c r="G461" t="str">
        <x:v>T-501</x:v>
      </x:c>
      <x:c r="H461" t="str">
        <x:v>deethanizer column</x:v>
      </x:c>
      <x:c r="I461" t="str">
        <x:v>column</x:v>
      </x:c>
      <x:c r="J461" t="str">
        <x:v>P2</x:v>
      </x:c>
      <x:c r="K461" t="str">
        <x:v>CLSD</x:v>
      </x:c>
      <x:c r="L461" t="str">
        <x:v>MECH</x:v>
      </x:c>
      <x:c r="M461" t="str">
        <x:v>feed_composition_shift</x:v>
      </x:c>
      <x:c r="N461" t="str">
        <x:v>level unstable</x:v>
      </x:c>
      <x:c r="O461" t="str">
        <x:v>LVL_SWING</x:v>
      </x:c>
      <x:c r="P461" t="str">
        <x:v>CTRL</x:v>
      </x:c>
      <x:c r="Q461" t="str">
        <x:v>Y</x:v>
      </x:c>
      <x:c r="R461" t="str">
        <x:v>16.0</x:v>
      </x:c>
      <x:c r="S461" t="str">
        <x:v>1870.23</x:v>
      </x:c>
      <x:c r="T461" t="str">
        <x:v>T-501 level unstable again, prod upset</x:v>
      </x:c>
      <x:c r="U461" t="str">
        <x:v>B shift called for T-501 deethanizer column, quality bad seen during feed composition shift. Foud level unstable; sump level swing. changed gasket and boxed up. still little hunting but acceptable. notif made by ops, maint attended same shift.</x:v>
      </x:c>
    </x:row>
    <x:row r="462" ht="15" hidden="0" customHeight="1">
      <x:c r="A462" t="str">
        <x:v>10450461</x:v>
      </x:c>
      <x:c r="B462" t="str">
        <x:v>40870461</x:v>
      </x:c>
      <x:c r="C462" t="str">
        <x:v>2023-04-04</x:v>
      </x:c>
      <x:c r="D462" t="str">
        <x:v>2023-04-05</x:v>
      </x:c>
      <x:c r="E462" t="str">
        <x:v>2023-04-06</x:v>
      </x:c>
      <x:c r="F462" t="str">
        <x:v>U400-DEETHANIZER-500</x:v>
      </x:c>
      <x:c r="G462" t="str">
        <x:v>E-502</x:v>
      </x:c>
      <x:c r="H462" t="str">
        <x:v>deethanizer overhead condenser</x:v>
      </x:c>
      <x:c r="I462" t="str">
        <x:v>condenser</x:v>
      </x:c>
      <x:c r="J462" t="str">
        <x:v>P3</x:v>
      </x:c>
      <x:c r="K462" t="str">
        <x:v>TECO</x:v>
      </x:c>
      <x:c r="L462" t="str">
        <x:v>ROT</x:v>
      </x:c>
      <x:c r="M462" t="str">
        <x:v>condenser_fouling</x:v>
      </x:c>
      <x:c r="N462" t="str">
        <x:v>high press</x:v>
      </x:c>
      <x:c r="O462" t="str">
        <x:v>PERF</x:v>
      </x:c>
      <x:c r="P462" t="str">
        <x:v>FOUL</x:v>
      </x:c>
      <x:c r="Q462" t="str">
        <x:v>N</x:v>
      </x:c>
      <x:c r="R462" t="str">
        <x:v>4.3</x:v>
      </x:c>
      <x:c r="S462" t="str">
        <x:v>9170.99</x:v>
      </x:c>
      <x:c r="T462" t="str">
        <x:v>chk E-502 - high press frm ops</x:v>
      </x:c>
      <x:c r="U462" t="str">
        <x:v>B shift called for E-502 deethanizer overhead condenser, drum temp hi seen during condenser fouling. Foud high press; condensing duty poor. No spare in store at first, used refurb one from shop. flushed impulse/sample line. still little hunting but acceptable. notif made by ops, maint attended same shift.</x:v>
      </x:c>
    </x:row>
    <x:row r="463" ht="15" hidden="0" customHeight="1">
      <x:c r="A463" t="str">
        <x:v>10450462</x:v>
      </x:c>
      <x:c r="B463" t="str">
        <x:v>40870462</x:v>
      </x:c>
      <x:c r="C463" t="str">
        <x:v>2023-04-05</x:v>
      </x:c>
      <x:c r="D463" t="str">
        <x:v>2023-04-06</x:v>
      </x:c>
      <x:c r="E463" t="str">
        <x:v>2023-04-07</x:v>
      </x:c>
      <x:c r="F463" t="str">
        <x:v>U400-DEETHANIZER-500</x:v>
      </x:c>
      <x:c r="G463" t="str">
        <x:v>TT-503</x:v>
      </x:c>
      <x:c r="H463" t="str">
        <x:v>reboiler outlet temperature tx</x:v>
      </x:c>
      <x:c r="I463" t="str">
        <x:v>instrument</x:v>
      </x:c>
      <x:c r="J463" t="str">
        <x:v>P3</x:v>
      </x:c>
      <x:c r="K463" t="str">
        <x:v>CLSD</x:v>
      </x:c>
      <x:c r="L463" t="str">
        <x:v>E&amp;I</x:v>
      </x:c>
      <x:c r="M463" t="str">
        <x:v>normal_wear</x:v>
      </x:c>
      <x:c r="N463" t="str">
        <x:v>impulse plugged</x:v>
      </x:c>
      <x:c r="O463" t="str">
        <x:v>PLUG</x:v>
      </x:c>
      <x:c r="P463" t="str">
        <x:v>PROCESS</x:v>
      </x:c>
      <x:c r="Q463" t="str">
        <x:v>N</x:v>
      </x:c>
      <x:c r="R463" t="str">
        <x:v>15.5</x:v>
      </x:c>
      <x:c r="S463" t="str">
        <x:v>2285.03</x:v>
      </x:c>
      <x:c r="T463" t="str">
        <x:v>TT-503 not ok after normal wear</x:v>
      </x:c>
      <x:c r="U463" t="str">
        <x:v>night called for TT-503 rebiler outlet temperature tx, loose term seen during normal wear. Foud impulse plugged; tap/line dirty. reset trip and monitored for 2 hrs. ops says ok for now. notif made by ops, maint attended same shift.</x:v>
      </x:c>
    </x:row>
    <x:row r="464" ht="15" hidden="0" customHeight="1">
      <x:c r="A464" t="str">
        <x:v>10450463</x:v>
      </x:c>
      <x:c r="B464" t="str">
        <x:v>40870463</x:v>
      </x:c>
      <x:c r="C464" t="str">
        <x:v>2023-04-07</x:v>
      </x:c>
      <x:c r="D464" t="str">
        <x:v>2023-04-07</x:v>
      </x:c>
      <x:c r="E464" t="str">
        <x:v>2023-04-08</x:v>
      </x:c>
      <x:c r="F464" t="str">
        <x:v>U400-DEETHANIZER-500</x:v>
      </x:c>
      <x:c r="G464" t="str">
        <x:v>FV-502</x:v>
      </x:c>
      <x:c r="H464" t="str">
        <x:v>reflux flow control valve</x:v>
      </x:c>
      <x:c r="I464" t="str">
        <x:v>control_valve</x:v>
      </x:c>
      <x:c r="J464" t="str">
        <x:v>P2</x:v>
      </x:c>
      <x:c r="K464" t="str">
        <x:v>TECO</x:v>
      </x:c>
      <x:c r="L464" t="str">
        <x:v>ANLYZR</x:v>
      </x:c>
      <x:c r="M464" t="str">
        <x:v>valve_stiction</x:v>
      </x:c>
      <x:c r="N464" t="str">
        <x:v>stiction</x:v>
      </x:c>
      <x:c r="O464" t="str">
        <x:v>STICK</x:v>
      </x:c>
      <x:c r="P464" t="str">
        <x:v>PACKING</x:v>
      </x:c>
      <x:c r="Q464" t="str">
        <x:v>N</x:v>
      </x:c>
      <x:c r="R464" t="str">
        <x:v>13.5</x:v>
      </x:c>
      <x:c r="S464" t="str">
        <x:v>3812.44</x:v>
      </x:c>
      <x:c r="T464" t="str">
        <x:v>FV-502 loop cycling, stiction</x:v>
      </x:c>
      <x:c r="U464" t="str">
        <x:v>C shift called for FV-502 reflux flow control valve, op jumps seen during valve stiction. Foud stiction; stem sticky and pos err. No spare in store at first, used refurb one from shop. flushed impulse/sample line. temp repair only, plan shutdown job. notif made by ops, maint attended same shift.</x:v>
      </x:c>
    </x:row>
    <x:row r="465" ht="15" hidden="0" customHeight="1">
      <x:c r="A465" t="str">
        <x:v>10450464</x:v>
      </x:c>
      <x:c r="B465" t="str">
        <x:v>40870464</x:v>
      </x:c>
      <x:c r="C465" t="str">
        <x:v>2023-04-10</x:v>
      </x:c>
      <x:c r="D465" t="str">
        <x:v>2023-04-11</x:v>
      </x:c>
      <x:c r="E465" t="str">
        <x:v>2023-04-18</x:v>
      </x:c>
      <x:c r="F465" t="str">
        <x:v>U400-DEETHANIZER-500</x:v>
      </x:c>
      <x:c r="G465" t="str">
        <x:v>E-503</x:v>
      </x:c>
      <x:c r="H465" t="str">
        <x:v>feed bottoms exchanger</x:v>
      </x:c>
      <x:c r="I465" t="str">
        <x:v>exchanger</x:v>
      </x:c>
      <x:c r="J465" t="str">
        <x:v>P2</x:v>
      </x:c>
      <x:c r="K465" t="str">
        <x:v>COMP</x:v>
      </x:c>
      <x:c r="L465" t="str">
        <x:v>INST</x:v>
      </x:c>
      <x:c r="M465" t="str">
        <x:v>feed_temperature_ramp</x:v>
      </x:c>
      <x:c r="N465" t="str">
        <x:v>gasket weep</x:v>
      </x:c>
      <x:c r="O465" t="str">
        <x:v>LEAK</x:v>
      </x:c>
      <x:c r="P465" t="str">
        <x:v>GASKET</x:v>
      </x:c>
      <x:c r="Q465" t="str">
        <x:v>N</x:v>
      </x:c>
      <x:c r="R465" t="str">
        <x:v>7.5</x:v>
      </x:c>
      <x:c r="S465" t="str">
        <x:v>10337.79</x:v>
      </x:c>
      <x:c r="T465" t="str">
        <x:v>E-503 tray temp drift, gasket weep</x:v>
      </x:c>
      <x:c r="U465" t="str">
        <x:v>C shift called for E-503 feed bottoms exchanger, rb duty up seen during feed temp ramp. Foud gasket weep; flange sweating. Line was hot so job done slow and with ops standing by. replaced positioner tubing and retuned small. readng close to dcs after job. notif made by ops, maint attended same shift.</x:v>
      </x:c>
    </x:row>
    <x:row r="466" ht="15" hidden="0" customHeight="1">
      <x:c r="A466" t="str">
        <x:v>10450465</x:v>
      </x:c>
      <x:c r="B466" t="str">
        <x:v>40870465</x:v>
      </x:c>
      <x:c r="C466" t="str">
        <x:v>2023-04-14</x:v>
      </x:c>
      <x:c r="D466" t="str">
        <x:v>2023-04-14</x:v>
      </x:c>
      <x:c r="E466" t="str">
        <x:v>2023-04-14</x:v>
      </x:c>
      <x:c r="F466" t="str">
        <x:v>U400-DEETHANIZER-500</x:v>
      </x:c>
      <x:c r="G466" t="str">
        <x:v>P-502A</x:v>
      </x:c>
      <x:c r="H466" t="str">
        <x:v>bottoms pump A</x:v>
      </x:c>
      <x:c r="I466" t="str">
        <x:v>pump</x:v>
      </x:c>
      <x:c r="J466" t="str">
        <x:v>P3</x:v>
      </x:c>
      <x:c r="K466" t="str">
        <x:v>TECO</x:v>
      </x:c>
      <x:c r="L466" t="str">
        <x:v>MECH</x:v>
      </x:c>
      <x:c r="M466" t="str">
        <x:v>valve_stiction</x:v>
      </x:c>
      <x:c r="N466" t="str">
        <x:v>low disch press</x:v>
      </x:c>
      <x:c r="O466" t="str">
        <x:v>HYD_LOSS</x:v>
      </x:c>
      <x:c r="P466" t="str">
        <x:v>FOUL</x:v>
      </x:c>
      <x:c r="Q466" t="str">
        <x:v>N</x:v>
      </x:c>
      <x:c r="R466" t="str">
        <x:v>15.5</x:v>
      </x:c>
      <x:c r="S466" t="str">
        <x:v>176.92</x:v>
      </x:c>
      <x:c r="T466" t="str">
        <x:v>P-502A loop cycling, low disch press</x:v>
      </x:c>
      <x:c r="U466" t="str">
        <x:v>A shift called for P-502A bottoms pump A, op jumps seen during vavle stiction. Foud low disch press; strainer dirty or impeller wear. Tag plate dirty, confirmd by line up with panel. calibrated, loop checked with CCR. ops says ok for now. notif made by ops, maint attended same shift.</x:v>
      </x:c>
    </x:row>
    <x:row r="467" ht="15" hidden="0" customHeight="1">
      <x:c r="A467" t="str">
        <x:v>10450466</x:v>
      </x:c>
      <x:c r="B467" t="str">
        <x:v>40870466</x:v>
      </x:c>
      <x:c r="C467" t="str">
        <x:v>2023-04-11</x:v>
      </x:c>
      <x:c r="D467" t="str">
        <x:v>2023-04-12</x:v>
      </x:c>
      <x:c r="E467" t="str">
        <x:v>2023-04-14</x:v>
      </x:c>
      <x:c r="F467" t="str">
        <x:v>U400-DEETHANIZER-500</x:v>
      </x:c>
      <x:c r="G467" t="str">
        <x:v>P-501B</x:v>
      </x:c>
      <x:c r="H467" t="str">
        <x:v>reflux pump B</x:v>
      </x:c>
      <x:c r="I467" t="str">
        <x:v>pump</x:v>
      </x:c>
      <x:c r="J467" t="str">
        <x:v>P2</x:v>
      </x:c>
      <x:c r="K467" t="str">
        <x:v>CLSD</x:v>
      </x:c>
      <x:c r="L467" t="str">
        <x:v>MECH</x:v>
      </x:c>
      <x:c r="M467" t="str">
        <x:v>reflux_pump_degradation</x:v>
      </x:c>
      <x:c r="N467" t="str">
        <x:v>bearing hot</x:v>
      </x:c>
      <x:c r="O467" t="str">
        <x:v>BRG</x:v>
      </x:c>
      <x:c r="P467" t="str">
        <x:v>WEAR</x:v>
      </x:c>
      <x:c r="Q467" t="str">
        <x:v>N</x:v>
      </x:c>
      <x:c r="R467" t="str">
        <x:v>13.8</x:v>
      </x:c>
      <x:c r="S467" t="str">
        <x:v>5291.61</x:v>
      </x:c>
      <x:c r="T467" t="str">
        <x:v>P-501B not ok after reflux pump degradation</x:v>
      </x:c>
      <x:c r="U467" t="str">
        <x:v>days called for P-501B rflx pump B, min flow hot seen during rflx pump degradation. Foud bearing hot; brg rough, lube dark. calibrated, loop checked with CCR. need watch next feed swing. notif made by ops, maint attended same shift.</x:v>
      </x:c>
    </x:row>
    <x:row r="468" ht="15" hidden="0" customHeight="1">
      <x:c r="A468" t="str">
        <x:v>10450467</x:v>
      </x:c>
      <x:c r="B468" t="str">
        <x:v>40870467</x:v>
      </x:c>
      <x:c r="C468" t="str">
        <x:v>2023-04-14</x:v>
      </x:c>
      <x:c r="D468" t="str">
        <x:v>2023-04-14</x:v>
      </x:c>
      <x:c r="E468" t="str">
        <x:v>2023-04-15</x:v>
      </x:c>
      <x:c r="F468" t="str">
        <x:v>U400-DEETHANIZER-500</x:v>
      </x:c>
      <x:c r="G468" t="str">
        <x:v>T-501</x:v>
      </x:c>
      <x:c r="H468" t="str">
        <x:v>deethanizer column</x:v>
      </x:c>
      <x:c r="I468" t="str">
        <x:v>column</x:v>
      </x:c>
      <x:c r="J468" t="str">
        <x:v>P2</x:v>
      </x:c>
      <x:c r="K468" t="str">
        <x:v>CLSD</x:v>
      </x:c>
      <x:c r="L468" t="str">
        <x:v>ROT</x:v>
      </x:c>
      <x:c r="M468" t="str">
        <x:v>feed_composition_shift</x:v>
      </x:c>
      <x:c r="N468" t="str">
        <x:v>dp high</x:v>
      </x:c>
      <x:c r="O468" t="str">
        <x:v>DP_HIGH</x:v>
      </x:c>
      <x:c r="P468" t="str">
        <x:v>FOAM</x:v>
      </x:c>
      <x:c r="Q468" t="str">
        <x:v>N</x:v>
      </x:c>
      <x:c r="R468" t="str">
        <x:v>3.9</x:v>
      </x:c>
      <x:c r="S468" t="str">
        <x:v>5244.66</x:v>
      </x:c>
      <x:c r="T468" t="str">
        <x:v>chk T-501 - dp high frm ops</x:v>
      </x:c>
      <x:c r="U468" t="str">
        <x:v>days called for T-501 deethanizer colmn, c3 in feed hi seen during feed composition shift. Foud dp high; trays loading or foaming. swapped to standby and repaired. still little hunting but acceptable. notif made by ops, maint attended same shift.</x:v>
      </x:c>
    </x:row>
    <x:row r="469" ht="15" hidden="0" customHeight="1">
      <x:c r="A469" t="str">
        <x:v>10450468</x:v>
      </x:c>
      <x:c r="B469" t="str">
        <x:v>40870468</x:v>
      </x:c>
      <x:c r="C469" t="str">
        <x:v>2023-04-17</x:v>
      </x:c>
      <x:c r="D469" t="str">
        <x:v>2023-04-17</x:v>
      </x:c>
      <x:c r="E469" t="str">
        <x:v>2023-04-17</x:v>
      </x:c>
      <x:c r="F469" t="str">
        <x:v>U400-DEETHANIZER-500</x:v>
      </x:c>
      <x:c r="G469" t="str">
        <x:v>FV-501</x:v>
      </x:c>
      <x:c r="H469" t="str">
        <x:v>feed flow control valve</x:v>
      </x:c>
      <x:c r="I469" t="str">
        <x:v>control_valve</x:v>
      </x:c>
      <x:c r="J469" t="str">
        <x:v>P2</x:v>
      </x:c>
      <x:c r="K469" t="str">
        <x:v>COMP</x:v>
      </x:c>
      <x:c r="L469" t="str">
        <x:v>MECH</x:v>
      </x:c>
      <x:c r="M469" t="str">
        <x:v>valve_stiction</x:v>
      </x:c>
      <x:c r="N469" t="str">
        <x:v>air leak</x:v>
      </x:c>
      <x:c r="O469" t="str">
        <x:v>AIR_LEAK</x:v>
      </x:c>
      <x:c r="P469" t="str">
        <x:v>TUBING</x:v>
      </x:c>
      <x:c r="Q469" t="str">
        <x:v>Y</x:v>
      </x:c>
      <x:c r="R469" t="str">
        <x:v>10.2</x:v>
      </x:c>
      <x:c r="S469" t="str">
        <x:v>4952.04</x:v>
      </x:c>
      <x:c r="T469" t="str">
        <x:v>chk FV-501 - air leak frm ops</x:v>
      </x:c>
      <x:c r="U469" t="str">
        <x:v>night called for FV-501 feed flow ctrl valve, position bad seen during valve stiction. Foud air leak; positioner supply drop. flushed impulse/sample line. ops says ok for now. notif made by ops, maint attended same shift.</x:v>
      </x:c>
    </x:row>
    <x:row r="470" ht="15" hidden="0" customHeight="1">
      <x:c r="A470" t="str">
        <x:v>10450469</x:v>
      </x:c>
      <x:c r="B470" t="str">
        <x:v>40870469</x:v>
      </x:c>
      <x:c r="C470" t="str">
        <x:v>2023-04-15</x:v>
      </x:c>
      <x:c r="D470" t="str">
        <x:v>2023-04-15</x:v>
      </x:c>
      <x:c r="E470" t="str">
        <x:v>2023-04-17</x:v>
      </x:c>
      <x:c r="F470" t="str">
        <x:v>U400-DEETHANIZER-500</x:v>
      </x:c>
      <x:c r="G470" t="str">
        <x:v>TV-502</x:v>
      </x:c>
      <x:c r="H470" t="str">
        <x:v>condenser cooling valve</x:v>
      </x:c>
      <x:c r="I470" t="str">
        <x:v>control_valve</x:v>
      </x:c>
      <x:c r="J470" t="str">
        <x:v>P3</x:v>
      </x:c>
      <x:c r="K470" t="str">
        <x:v>CLSD</x:v>
      </x:c>
      <x:c r="L470" t="str">
        <x:v>VALVE</x:v>
      </x:c>
      <x:c r="M470" t="str">
        <x:v>condenser_fouling</x:v>
      </x:c>
      <x:c r="N470" t="str">
        <x:v>hunting loop</x:v>
      </x:c>
      <x:c r="O470" t="str">
        <x:v>CTRL_OSC</x:v>
      </x:c>
      <x:c r="P470" t="str">
        <x:v>TUNE</x:v>
      </x:c>
      <x:c r="Q470" t="str">
        <x:v>N</x:v>
      </x:c>
      <x:c r="R470" t="str">
        <x:v>5.0</x:v>
      </x:c>
      <x:c r="S470" t="str">
        <x:v>831.0</x:v>
      </x:c>
      <x:c r="T470" t="str">
        <x:v>chk TV-502 - hunting loop frm ops</x:v>
      </x:c>
      <x:c r="U470" t="str">
        <x:v>night called for TV-502 condnsr cooling vavle, cw dt low seen during condnsr fouling. Foud hunting loop; bad response after upset. reset trip and monitored for 2 hrs. temp repair only, plan shutdown job. notif made by ops, maint attended same shift.</x:v>
      </x:c>
    </x:row>
    <x:row r="471" ht="15" hidden="0" customHeight="1">
      <x:c r="A471" t="str">
        <x:v>10450470</x:v>
      </x:c>
      <x:c r="B471" t="str">
        <x:v>40870470</x:v>
      </x:c>
      <x:c r="C471" t="str">
        <x:v>2023-04-19</x:v>
      </x:c>
      <x:c r="D471" t="str">
        <x:v>2023-04-20</x:v>
      </x:c>
      <x:c r="E471" t="str">
        <x:v>2023-04-27</x:v>
      </x:c>
      <x:c r="F471" t="str">
        <x:v>U400-DEETHANIZER-500</x:v>
      </x:c>
      <x:c r="G471" t="str">
        <x:v>TT-501B</x:v>
      </x:c>
      <x:c r="H471" t="str">
        <x:v>sensitive tray temperature tx</x:v>
      </x:c>
      <x:c r="I471" t="str">
        <x:v>instrument</x:v>
      </x:c>
      <x:c r="J471" t="str">
        <x:v>P2</x:v>
      </x:c>
      <x:c r="K471" t="str">
        <x:v>TECO</x:v>
      </x:c>
      <x:c r="L471" t="str">
        <x:v>INST</x:v>
      </x:c>
      <x:c r="M471" t="str">
        <x:v>feed_temperature_ramp</x:v>
      </x:c>
      <x:c r="N471" t="str">
        <x:v>no signal</x:v>
      </x:c>
      <x:c r="O471" t="str">
        <x:v>NO_SIGNAL</x:v>
      </x:c>
      <x:c r="P471" t="str">
        <x:v>ELEC</x:v>
      </x:c>
      <x:c r="Q471" t="str">
        <x:v>N</x:v>
      </x:c>
      <x:c r="R471" t="str">
        <x:v>12.1</x:v>
      </x:c>
      <x:c r="S471" t="str">
        <x:v>5151.82</x:v>
      </x:c>
      <x:c r="T471" t="str">
        <x:v>TT-501B not ok after feed temperature ramp</x:v>
      </x:c>
      <x:c r="U471" t="str">
        <x:v>C shift called for TT-501B sensitive tray temperature tx, ovhd press moving seen during feed temperature ramp. Foud no signal; 24v or card issue. Line was hot so job done slow and with ops standing by. swapped to standby and repaired. temp repair only, plan shutdown job. notif made by ops, maint attended same shift.</x:v>
      </x:c>
    </x:row>
    <x:row r="472" ht="15" hidden="0" customHeight="1">
      <x:c r="A472" t="str">
        <x:v>10450471</x:v>
      </x:c>
      <x:c r="B472" t="str">
        <x:v>40870471</x:v>
      </x:c>
      <x:c r="C472" t="str">
        <x:v>2023-04-21</x:v>
      </x:c>
      <x:c r="D472" t="str">
        <x:v>2023-04-23</x:v>
      </x:c>
      <x:c r="E472" t="str">
        <x:v>2023-04-25</x:v>
      </x:c>
      <x:c r="F472" t="str">
        <x:v>U400-DEETHANIZER-500</x:v>
      </x:c>
      <x:c r="G472" t="str">
        <x:v>TV-501</x:v>
      </x:c>
      <x:c r="H472" t="str">
        <x:v>reboiler hot medium valve</x:v>
      </x:c>
      <x:c r="I472" t="str">
        <x:v>control_valve</x:v>
      </x:c>
      <x:c r="J472" t="str">
        <x:v>P3</x:v>
      </x:c>
      <x:c r="K472" t="str">
        <x:v>COMP</x:v>
      </x:c>
      <x:c r="L472" t="str">
        <x:v>VALVE</x:v>
      </x:c>
      <x:c r="M472" t="str">
        <x:v>reflux_pump_degradation</x:v>
      </x:c>
      <x:c r="N472" t="str">
        <x:v>passing</x:v>
      </x:c>
      <x:c r="O472" t="str">
        <x:v>LEAK_BY</x:v>
      </x:c>
      <x:c r="P472" t="str">
        <x:v>SEAT</x:v>
      </x:c>
      <x:c r="Q472" t="str">
        <x:v>N</x:v>
      </x:c>
      <x:c r="R472" t="str">
        <x:v>10.0</x:v>
      </x:c>
      <x:c r="S472" t="str">
        <x:v>4670.52</x:v>
      </x:c>
      <x:c r="T472" t="str">
        <x:v>TV-501 not ok after reflux pump degradation</x:v>
      </x:c>
      <x:c r="U472" t="str">
        <x:v>days called for TV-501 rebiler hot medium vavle, min flow hot seen during reflux pump degradation. Foud passing; seat leak by. History shows same complain last mnth. replaced positioner tubing and retuned small. unit stable now. notif made by ops, maint attended same shift.</x:v>
      </x:c>
    </x:row>
    <x:row r="473" ht="15" hidden="0" customHeight="1">
      <x:c r="A473" t="str">
        <x:v>10450472</x:v>
      </x:c>
      <x:c r="B473" t="str">
        <x:v>40870472</x:v>
      </x:c>
      <x:c r="C473" t="str">
        <x:v>2023-04-22</x:v>
      </x:c>
      <x:c r="D473" t="str">
        <x:v>2023-04-22</x:v>
      </x:c>
      <x:c r="E473" t="str">
        <x:v>2023-04-24</x:v>
      </x:c>
      <x:c r="F473" t="str">
        <x:v>U400-DEETHANIZER-500</x:v>
      </x:c>
      <x:c r="G473" t="str">
        <x:v>FV-502</x:v>
      </x:c>
      <x:c r="H473" t="str">
        <x:v>reflux flow control valve</x:v>
      </x:c>
      <x:c r="I473" t="str">
        <x:v>control_valve</x:v>
      </x:c>
      <x:c r="J473" t="str">
        <x:v>P3</x:v>
      </x:c>
      <x:c r="K473" t="str">
        <x:v>TECO</x:v>
      </x:c>
      <x:c r="L473" t="str">
        <x:v>ROT</x:v>
      </x:c>
      <x:c r="M473" t="str">
        <x:v>valve_stiction</x:v>
      </x:c>
      <x:c r="N473" t="str">
        <x:v>not stroking</x:v>
      </x:c>
      <x:c r="O473" t="str">
        <x:v>NO_TRAVEL</x:v>
      </x:c>
      <x:c r="P473" t="str">
        <x:v>ACT</x:v>
      </x:c>
      <x:c r="Q473" t="str">
        <x:v>N</x:v>
      </x:c>
      <x:c r="R473" t="str">
        <x:v>10.0</x:v>
      </x:c>
      <x:c r="S473" t="str">
        <x:v>3418.09</x:v>
      </x:c>
      <x:c r="T473" t="str">
        <x:v>FV-502 not stroking again, prod upset</x:v>
      </x:c>
      <x:c r="U473" t="str">
        <x:v>night called for FV-502 reflux flow control valve, op jumps seen during valve stiction. Foud not stroking; actuator weak. flushed impulse/sample line. ops says ok for now. notif made by ops, maint attended same shift.</x:v>
      </x:c>
    </x:row>
    <x:row r="474" ht="15" hidden="0" customHeight="1">
      <x:c r="A474" t="str">
        <x:v>10450473</x:v>
      </x:c>
      <x:c r="B474" t="str">
        <x:v>40870473</x:v>
      </x:c>
      <x:c r="C474" t="str">
        <x:v>2023-04-26</x:v>
      </x:c>
      <x:c r="D474" t="str">
        <x:v>2023-04-27</x:v>
      </x:c>
      <x:c r="E474" t="str">
        <x:v>2023-05-11</x:v>
      </x:c>
      <x:c r="F474" t="str">
        <x:v>U400-DEETHANIZER-500</x:v>
      </x:c>
      <x:c r="G474" t="str">
        <x:v>E-503</x:v>
      </x:c>
      <x:c r="H474" t="str">
        <x:v>feed bottoms exchanger</x:v>
      </x:c>
      <x:c r="I474" t="str">
        <x:v>exchanger</x:v>
      </x:c>
      <x:c r="J474" t="str">
        <x:v>P3</x:v>
      </x:c>
      <x:c r="K474" t="str">
        <x:v>CLSD</x:v>
      </x:c>
      <x:c r="L474" t="str">
        <x:v>MECH</x:v>
      </x:c>
      <x:c r="M474" t="str">
        <x:v>reflux_pump_degradation</x:v>
      </x:c>
      <x:c r="N474" t="str">
        <x:v>tube fouling</x:v>
      </x:c>
      <x:c r="O474" t="str">
        <x:v>FOULING</x:v>
      </x:c>
      <x:c r="P474" t="str">
        <x:v>PROCESS</x:v>
      </x:c>
      <x:c r="Q474" t="str">
        <x:v>N</x:v>
      </x:c>
      <x:c r="R474" t="str">
        <x:v>5.0</x:v>
      </x:c>
      <x:c r="S474" t="str">
        <x:v>11449.19</x:v>
      </x:c>
      <x:c r="T474" t="str">
        <x:v>E-503 not ok after rflx pump degradation</x:v>
      </x:c>
      <x:c r="U474" t="str">
        <x:v>B shift called for E-503 feed bottoms exchanger, pump vib seen during reflux pump degradation. Foud tube fouling; duty low, delta t poor. reset trip and monitored for 2 hrs. still little hunting but acceptable. notif made by ops, maint attended same shift.</x:v>
      </x:c>
    </x:row>
    <x:row r="475" ht="15" hidden="0" customHeight="1">
      <x:c r="A475" t="str">
        <x:v>10450474</x:v>
      </x:c>
      <x:c r="B475" t="str">
        <x:v>40870474</x:v>
      </x:c>
      <x:c r="C475" t="str">
        <x:v>2023-04-22</x:v>
      </x:c>
      <x:c r="D475" t="str">
        <x:v>2023-04-24</x:v>
      </x:c>
      <x:c r="E475" t="str">
        <x:v>2023-04-24</x:v>
      </x:c>
      <x:c r="F475" t="str">
        <x:v>U400-DEETHANIZER-500</x:v>
      </x:c>
      <x:c r="G475" t="str">
        <x:v>TV-502</x:v>
      </x:c>
      <x:c r="H475" t="str">
        <x:v>condenser cooling valve</x:v>
      </x:c>
      <x:c r="I475" t="str">
        <x:v>control_valve</x:v>
      </x:c>
      <x:c r="J475" t="str">
        <x:v>P3</x:v>
      </x:c>
      <x:c r="K475" t="str">
        <x:v>COMP</x:v>
      </x:c>
      <x:c r="L475" t="str">
        <x:v>VALVE</x:v>
      </x:c>
      <x:c r="M475" t="str">
        <x:v>condenser_fouling</x:v>
      </x:c>
      <x:c r="N475" t="str">
        <x:v>passing</x:v>
      </x:c>
      <x:c r="O475" t="str">
        <x:v>LEAK_BY</x:v>
      </x:c>
      <x:c r="P475" t="str">
        <x:v>SEAT</x:v>
      </x:c>
      <x:c r="Q475" t="str">
        <x:v>N</x:v>
      </x:c>
      <x:c r="R475" t="str">
        <x:v>13.7</x:v>
      </x:c>
      <x:c r="S475" t="str">
        <x:v>6404.02</x:v>
      </x:c>
      <x:c r="T475" t="str">
        <x:v>chk TV-502 - passing frm ops</x:v>
      </x:c>
      <x:c r="U475" t="str">
        <x:v>B shift called for TV-502 condenser cooling valve, high ovhd press seen during condenser fouling. Foud passing; seat leak by. History shows same complain last mnth. stroke tested, response better. temp repair only, plan shutdown job. notif made by ops, maint attended same shift.</x:v>
      </x:c>
    </x:row>
    <x:row r="476" ht="15" hidden="0" customHeight="1">
      <x:c r="A476" t="str">
        <x:v>10450475</x:v>
      </x:c>
      <x:c r="B476" t="str">
        <x:v>40870475</x:v>
      </x:c>
      <x:c r="C476" t="str">
        <x:v>2023-04-26</x:v>
      </x:c>
      <x:c r="D476" t="str">
        <x:v>2023-04-26</x:v>
      </x:c>
      <x:c r="E476" t="str">
        <x:v>2023-04-27</x:v>
      </x:c>
      <x:c r="F476" t="str">
        <x:v>U400-DEETHANIZER-500</x:v>
      </x:c>
      <x:c r="G476" t="str">
        <x:v>FV-502</x:v>
      </x:c>
      <x:c r="H476" t="str">
        <x:v>reflux flow control valve</x:v>
      </x:c>
      <x:c r="I476" t="str">
        <x:v>control_valve</x:v>
      </x:c>
      <x:c r="J476" t="str">
        <x:v>P3</x:v>
      </x:c>
      <x:c r="K476" t="str">
        <x:v>CLSD</x:v>
      </x:c>
      <x:c r="L476" t="str">
        <x:v>ANLYZR</x:v>
      </x:c>
      <x:c r="M476" t="str">
        <x:v>reflux_pump_degradation</x:v>
      </x:c>
      <x:c r="N476" t="str">
        <x:v>air leak</x:v>
      </x:c>
      <x:c r="O476" t="str">
        <x:v>AIR_LEAK</x:v>
      </x:c>
      <x:c r="P476" t="str">
        <x:v>TUBING</x:v>
      </x:c>
      <x:c r="Q476" t="str">
        <x:v>N</x:v>
      </x:c>
      <x:c r="R476" t="str">
        <x:v>2.2</x:v>
      </x:c>
      <x:c r="S476" t="str">
        <x:v>4601.65</x:v>
      </x:c>
      <x:c r="T476" t="str">
        <x:v>FV-502 air leak ops req</x:v>
      </x:c>
      <x:c r="U476" t="str">
        <x:v>night called for FV-502 reflux flow control valve, min flow hot seen during reflux pump degradation. Foud air leak; positioner supply drop. changed gasket and boxed up. still little hunting but acceptable. notif made by ops, maint attended same shift.</x:v>
      </x:c>
    </x:row>
    <x:row r="477" ht="15" hidden="0" customHeight="1">
      <x:c r="A477" t="str">
        <x:v>10450476</x:v>
      </x:c>
      <x:c r="B477" t="str">
        <x:v>40870476</x:v>
      </x:c>
      <x:c r="C477" t="str">
        <x:v>2023-04-27</x:v>
      </x:c>
      <x:c r="D477" t="str">
        <x:v>2023-04-28</x:v>
      </x:c>
      <x:c r="E477" t="str">
        <x:v>2023-04-29</x:v>
      </x:c>
      <x:c r="F477" t="str">
        <x:v>U400-DEETHANIZER-500</x:v>
      </x:c>
      <x:c r="G477" t="str">
        <x:v>PT-501</x:v>
      </x:c>
      <x:c r="H477" t="str">
        <x:v>column overhead pressure tx</x:v>
      </x:c>
      <x:c r="I477" t="str">
        <x:v>instrument</x:v>
      </x:c>
      <x:c r="J477" t="str">
        <x:v>P3</x:v>
      </x:c>
      <x:c r="K477" t="str">
        <x:v>COMP</x:v>
      </x:c>
      <x:c r="L477" t="str">
        <x:v>ANLYZR</x:v>
      </x:c>
      <x:c r="M477" t="str">
        <x:v>condenser_fouling</x:v>
      </x:c>
      <x:c r="N477" t="str">
        <x:v>no signal</x:v>
      </x:c>
      <x:c r="O477" t="str">
        <x:v>NO_SIGNAL</x:v>
      </x:c>
      <x:c r="P477" t="str">
        <x:v>ELEC</x:v>
      </x:c>
      <x:c r="Q477" t="str">
        <x:v>N</x:v>
      </x:c>
      <x:c r="R477" t="str">
        <x:v>15.1</x:v>
      </x:c>
      <x:c r="S477" t="str">
        <x:v>2353.3</x:v>
      </x:c>
      <x:c r="T477" t="str">
        <x:v>PT-501 no signal again, prod upset</x:v>
      </x:c>
      <x:c r="U477" t="str">
        <x:v>C shift called for PT-501 column overhead pressure tx, cond not pullng seen during condenser fouling. Foud no signal; 24v or card issue. No spare in store at first, used refurb one from shop. tightened fittings, leak test ok. still little hunting but acceptable. notif made by ops, maint attended same shift.</x:v>
      </x:c>
    </x:row>
    <x:row r="478" ht="15" hidden="0" customHeight="1">
      <x:c r="A478" t="str">
        <x:v>10450477</x:v>
      </x:c>
      <x:c r="B478" t="str">
        <x:v>40870477</x:v>
      </x:c>
      <x:c r="C478" t="str">
        <x:v>2023-04-30</x:v>
      </x:c>
      <x:c r="D478" t="str">
        <x:v>2023-05-01</x:v>
      </x:c>
      <x:c r="E478" t="str">
        <x:v>2023-05-01</x:v>
      </x:c>
      <x:c r="F478" t="str">
        <x:v>U400-DEETHANIZER-500</x:v>
      </x:c>
      <x:c r="G478" t="str">
        <x:v>TV-502</x:v>
      </x:c>
      <x:c r="H478" t="str">
        <x:v>condenser cooling valve</x:v>
      </x:c>
      <x:c r="I478" t="str">
        <x:v>control_valve</x:v>
      </x:c>
      <x:c r="J478" t="str">
        <x:v>P3</x:v>
      </x:c>
      <x:c r="K478" t="str">
        <x:v>CLSD</x:v>
      </x:c>
      <x:c r="L478" t="str">
        <x:v>ANLYZR</x:v>
      </x:c>
      <x:c r="M478" t="str">
        <x:v>condenser_fouling</x:v>
      </x:c>
      <x:c r="N478" t="str">
        <x:v>hunting loop</x:v>
      </x:c>
      <x:c r="O478" t="str">
        <x:v>CTRL_OSC</x:v>
      </x:c>
      <x:c r="P478" t="str">
        <x:v>TUNE</x:v>
      </x:c>
      <x:c r="Q478" t="str">
        <x:v>N</x:v>
      </x:c>
      <x:c r="R478" t="str">
        <x:v>1.2</x:v>
      </x:c>
      <x:c r="S478" t="str">
        <x:v>5960.77</x:v>
      </x:c>
      <x:c r="T478" t="str">
        <x:v>TV-502 pic wide open, hunting loop</x:v>
      </x:c>
      <x:c r="U478" t="str">
        <x:v>night called for TV-502 condenser cooling valve, high ovhd press seen during condenser fouling. Foud hunting loop; bad response after upset. calibrated, loop checked with CCR. unit stable now. notif made by ops, maint attended same shift.</x:v>
      </x:c>
    </x:row>
    <x:row r="479" ht="15" hidden="0" customHeight="1">
      <x:c r="A479" t="str">
        <x:v>10450478</x:v>
      </x:c>
      <x:c r="B479" t="str">
        <x:v>40870478</x:v>
      </x:c>
      <x:c r="C479" t="str">
        <x:v>2023-04-30</x:v>
      </x:c>
      <x:c r="D479" t="str">
        <x:v>2023-04-30</x:v>
      </x:c>
      <x:c r="E479" t="str">
        <x:v>2023-04-30</x:v>
      </x:c>
      <x:c r="F479" t="str">
        <x:v>U400-DEETHANIZER-500</x:v>
      </x:c>
      <x:c r="G479" t="str">
        <x:v>T-501</x:v>
      </x:c>
      <x:c r="H479" t="str">
        <x:v>deethanizer column</x:v>
      </x:c>
      <x:c r="I479" t="str">
        <x:v>column</x:v>
      </x:c>
      <x:c r="J479" t="str">
        <x:v>P2</x:v>
      </x:c>
      <x:c r="K479" t="str">
        <x:v>TECO</x:v>
      </x:c>
      <x:c r="L479" t="str">
        <x:v>ANLYZR</x:v>
      </x:c>
      <x:c r="M479" t="str">
        <x:v>feed_flow_step</x:v>
      </x:c>
      <x:c r="N479" t="str">
        <x:v>level unstable</x:v>
      </x:c>
      <x:c r="O479" t="str">
        <x:v>LVL_SWING</x:v>
      </x:c>
      <x:c r="P479" t="str">
        <x:v>CTRL</x:v>
      </x:c>
      <x:c r="Q479" t="str">
        <x:v>Y</x:v>
      </x:c>
      <x:c r="R479" t="str">
        <x:v>7.7</x:v>
      </x:c>
      <x:c r="S479" t="str">
        <x:v>6494.42</x:v>
      </x:c>
      <x:c r="T479" t="str">
        <x:v>T-501 column dp high, level unstable</x:v>
      </x:c>
      <x:c r="U479" t="str">
        <x:v>B shift called for T-501 deethanizer column, column dp high seen during feed flow step. Foud level unstable; sump level swing. History shows same complain last mnth. calibrated, loop checked with CCR. ops says ok for now. notif made by ops, maint attended same shift.</x:v>
      </x:c>
    </x:row>
    <x:row r="480" ht="15" hidden="0" customHeight="1">
      <x:c r="A480" t="str">
        <x:v>10450479</x:v>
      </x:c>
      <x:c r="B480" t="str">
        <x:v>40870479</x:v>
      </x:c>
      <x:c r="C480" t="str">
        <x:v>2023-05-04</x:v>
      </x:c>
      <x:c r="D480" t="str">
        <x:v>2023-05-05</x:v>
      </x:c>
      <x:c r="E480" t="str">
        <x:v>2023-05-06</x:v>
      </x:c>
      <x:c r="F480" t="str">
        <x:v>U400-DEETHANIZER-500</x:v>
      </x:c>
      <x:c r="G480" t="str">
        <x:v>LV-502</x:v>
      </x:c>
      <x:c r="H480" t="str">
        <x:v>bottoms level valve</x:v>
      </x:c>
      <x:c r="I480" t="str">
        <x:v>control_valve</x:v>
      </x:c>
      <x:c r="J480" t="str">
        <x:v>P2</x:v>
      </x:c>
      <x:c r="K480" t="str">
        <x:v>CLSD</x:v>
      </x:c>
      <x:c r="L480" t="str">
        <x:v>OPS+MECH</x:v>
      </x:c>
      <x:c r="M480" t="str">
        <x:v>reboiler_duty_loss</x:v>
      </x:c>
      <x:c r="N480" t="str">
        <x:v>not stroking</x:v>
      </x:c>
      <x:c r="O480" t="str">
        <x:v>NO_TRAVEL</x:v>
      </x:c>
      <x:c r="P480" t="str">
        <x:v>ACT</x:v>
      </x:c>
      <x:c r="Q480" t="str">
        <x:v>N</x:v>
      </x:c>
      <x:c r="R480" t="str">
        <x:v>17.8</x:v>
      </x:c>
      <x:c r="S480" t="str">
        <x:v>5959.64</x:v>
      </x:c>
      <x:c r="T480" t="str">
        <x:v>LV-502 not stroking pls chk</x:v>
      </x:c>
      <x:c r="U480" t="str">
        <x:v>A shift called for LV-502 bottoms level vavle, c2 in btm seen during reboiler duty loss. Foud not stroking; actuator weak. calibrated, loop checked with CCR. temp repair only, plan shutdown job. notif made by ops, maint attended same shift.</x:v>
      </x:c>
    </x:row>
    <x:row r="481" ht="15" hidden="0" customHeight="1">
      <x:c r="A481" t="str">
        <x:v>10450480</x:v>
      </x:c>
      <x:c r="B481" t="str">
        <x:v>40870480</x:v>
      </x:c>
      <x:c r="C481" t="str">
        <x:v>2023-05-01</x:v>
      </x:c>
      <x:c r="D481" t="str">
        <x:v>2023-05-01</x:v>
      </x:c>
      <x:c r="E481" t="str">
        <x:v>2023-05-08</x:v>
      </x:c>
      <x:c r="F481" t="str">
        <x:v>U400-DEETHANIZER-500</x:v>
      </x:c>
      <x:c r="G481" t="str">
        <x:v>DPT-501</x:v>
      </x:c>
      <x:c r="H481" t="str">
        <x:v>column diff pressure tx</x:v>
      </x:c>
      <x:c r="I481" t="str">
        <x:v>instrument</x:v>
      </x:c>
      <x:c r="J481" t="str">
        <x:v>P2</x:v>
      </x:c>
      <x:c r="K481" t="str">
        <x:v>COMP</x:v>
      </x:c>
      <x:c r="L481" t="str">
        <x:v>OPS+INST</x:v>
      </x:c>
      <x:c r="M481" t="str">
        <x:v>normal_wear</x:v>
      </x:c>
      <x:c r="N481" t="str">
        <x:v>impulse plugged</x:v>
      </x:c>
      <x:c r="O481" t="str">
        <x:v>PLUG</x:v>
      </x:c>
      <x:c r="P481" t="str">
        <x:v>PROCESS</x:v>
      </x:c>
      <x:c r="Q481" t="str">
        <x:v>Y</x:v>
      </x:c>
      <x:c r="R481" t="str">
        <x:v>21.9</x:v>
      </x:c>
      <x:c r="S481" t="str">
        <x:v>244.1</x:v>
      </x:c>
      <x:c r="T481" t="str">
        <x:v>DPT-501 noise, impulse plugged</x:v>
      </x:c>
      <x:c r="U481" t="str">
        <x:v>B shift called for DPT-501 column diff pressure tx, loose term seen during normal wear. Foud impulse plugged; tap/line dirty. Could not get permit first time waiting area gas test. swapped to standby and repaired. still little hunting but acceptable. notif made by ops, maint attended same shift.</x:v>
      </x:c>
    </x:row>
    <x:row r="482" ht="15" hidden="0" customHeight="1">
      <x:c r="A482" t="str">
        <x:v>10450481</x:v>
      </x:c>
      <x:c r="B482" t="str">
        <x:v>40870481</x:v>
      </x:c>
      <x:c r="C482" t="str">
        <x:v>2023-05-03</x:v>
      </x:c>
      <x:c r="D482" t="str">
        <x:v>2023-05-03</x:v>
      </x:c>
      <x:c r="E482" t="str">
        <x:v>2023-05-04</x:v>
      </x:c>
      <x:c r="F482" t="str">
        <x:v>U400-DEETHANIZER-500</x:v>
      </x:c>
      <x:c r="G482" t="str">
        <x:v>E-502</x:v>
      </x:c>
      <x:c r="H482" t="str">
        <x:v>deethanizer overhead condenser</x:v>
      </x:c>
      <x:c r="I482" t="str">
        <x:v>condenser</x:v>
      </x:c>
      <x:c r="J482" t="str">
        <x:v>P3</x:v>
      </x:c>
      <x:c r="K482" t="str">
        <x:v>CLSD</x:v>
      </x:c>
      <x:c r="L482" t="str">
        <x:v>ROT</x:v>
      </x:c>
      <x:c r="M482" t="str">
        <x:v>reboiler_duty_loss</x:v>
      </x:c>
      <x:c r="N482" t="str">
        <x:v>cw fouling</x:v>
      </x:c>
      <x:c r="O482" t="str">
        <x:v>FOULING</x:v>
      </x:c>
      <x:c r="P482" t="str">
        <x:v>UTILITY</x:v>
      </x:c>
      <x:c r="Q482" t="str">
        <x:v>N</x:v>
      </x:c>
      <x:c r="R482" t="str">
        <x:v>2.9</x:v>
      </x:c>
      <x:c r="S482" t="str">
        <x:v>14457.35</x:v>
      </x:c>
      <x:c r="T482" t="str">
        <x:v>E-502 not ok after rebiler duty loss</x:v>
      </x:c>
      <x:c r="U482" t="str">
        <x:v>days called for E-502 deethanizer overhead condenser, c2 in btm seen during reboiler duty loss. Foud cw fouling; cw side scaled. opened strainer, cleaned black sludge. ops says ok for now. notif made by ops, maint attended same shift.</x:v>
      </x:c>
    </x:row>
    <x:row r="483" ht="15" hidden="0" customHeight="1">
      <x:c r="A483" t="str">
        <x:v>10450482</x:v>
      </x:c>
      <x:c r="B483" t="str">
        <x:v>40870482</x:v>
      </x:c>
      <x:c r="C483" t="str">
        <x:v>2023-05-05</x:v>
      </x:c>
      <x:c r="D483" t="str">
        <x:v>2023-05-05</x:v>
      </x:c>
      <x:c r="E483" t="str">
        <x:v>2023-05-06</x:v>
      </x:c>
      <x:c r="F483" t="str">
        <x:v>U400-DEETHANIZER-500</x:v>
      </x:c>
      <x:c r="G483" t="str">
        <x:v>FV-502</x:v>
      </x:c>
      <x:c r="H483" t="str">
        <x:v>reflux flow control valve</x:v>
      </x:c>
      <x:c r="I483" t="str">
        <x:v>control_valve</x:v>
      </x:c>
      <x:c r="J483" t="str">
        <x:v>P2</x:v>
      </x:c>
      <x:c r="K483" t="str">
        <x:v>COMP</x:v>
      </x:c>
      <x:c r="L483" t="str">
        <x:v>VALVE</x:v>
      </x:c>
      <x:c r="M483" t="str">
        <x:v>valve_stiction</x:v>
      </x:c>
      <x:c r="N483" t="str">
        <x:v>passing</x:v>
      </x:c>
      <x:c r="O483" t="str">
        <x:v>LEAK_BY</x:v>
      </x:c>
      <x:c r="P483" t="str">
        <x:v>SEAT</x:v>
      </x:c>
      <x:c r="Q483" t="str">
        <x:v>N</x:v>
      </x:c>
      <x:c r="R483" t="str">
        <x:v>5.6</x:v>
      </x:c>
      <x:c r="S483" t="str">
        <x:v>1224.09</x:v>
      </x:c>
      <x:c r="T483" t="str">
        <x:v>FV-502 loop cycling, passing</x:v>
      </x:c>
      <x:c r="U483" t="str">
        <x:v>B shift called for FV-502 reflux flow control valve, valve sticking seen during valve stiction. Foud passing; seat leak by. History shows same complain last mnth. changed gasket and boxed up. readng close to dcs after job. notif made by ops, maint attended same shift.</x:v>
      </x:c>
    </x:row>
    <x:row r="484" ht="15" hidden="0" customHeight="1">
      <x:c r="A484" t="str">
        <x:v>10450483</x:v>
      </x:c>
      <x:c r="B484" t="str">
        <x:v>40870483</x:v>
      </x:c>
      <x:c r="C484" t="str">
        <x:v>2023-05-07</x:v>
      </x:c>
      <x:c r="D484" t="str">
        <x:v>2023-05-07</x:v>
      </x:c>
      <x:c r="E484" t="str">
        <x:v>2023-05-10</x:v>
      </x:c>
      <x:c r="F484" t="str">
        <x:v>U400-DEETHANIZER-500</x:v>
      </x:c>
      <x:c r="G484" t="str">
        <x:v>TT-503</x:v>
      </x:c>
      <x:c r="H484" t="str">
        <x:v>reboiler outlet temperature tx</x:v>
      </x:c>
      <x:c r="I484" t="str">
        <x:v>instrument</x:v>
      </x:c>
      <x:c r="J484" t="str">
        <x:v>P4</x:v>
      </x:c>
      <x:c r="K484" t="str">
        <x:v>COMP</x:v>
      </x:c>
      <x:c r="L484" t="str">
        <x:v>OPS+INST</x:v>
      </x:c>
      <x:c r="M484" t="str">
        <x:v>reboiler_duty_loss</x:v>
      </x:c>
      <x:c r="N484" t="str">
        <x:v>bad reading</x:v>
      </x:c>
      <x:c r="O484" t="str">
        <x:v>DRIFT</x:v>
      </x:c>
      <x:c r="P484" t="str">
        <x:v>CAL</x:v>
      </x:c>
      <x:c r="Q484" t="str">
        <x:v>N</x:v>
      </x:c>
      <x:c r="R484" t="str">
        <x:v>13.9</x:v>
      </x:c>
      <x:c r="S484" t="str">
        <x:v>2703.23</x:v>
      </x:c>
      <x:c r="T484" t="str">
        <x:v>TT-503 bad reading ops req</x:v>
      </x:c>
      <x:c r="U484" t="str">
        <x:v>C shift called for TT-503 reboiler outlet temperature tx, low heat seen during reboiler duty loss. Foud bad reading; needs calib. replaced positioner tubing and retuned small. readng close to dcs after job. notif made by ops, maint attended same shift.</x:v>
      </x:c>
    </x:row>
    <x:row r="485" ht="15" hidden="0" customHeight="1">
      <x:c r="A485" t="str">
        <x:v>10450484</x:v>
      </x:c>
      <x:c r="B485" t="str">
        <x:v>40870484</x:v>
      </x:c>
      <x:c r="C485" t="str">
        <x:v>2023-05-11</x:v>
      </x:c>
      <x:c r="D485" t="str">
        <x:v>2023-05-11</x:v>
      </x:c>
      <x:c r="E485" t="str">
        <x:v>2023-05-14</x:v>
      </x:c>
      <x:c r="F485" t="str">
        <x:v>U400-DEETHANIZER-500</x:v>
      </x:c>
      <x:c r="G485" t="str">
        <x:v>E-501</x:v>
      </x:c>
      <x:c r="H485" t="str">
        <x:v>deethanizer reboiler</x:v>
      </x:c>
      <x:c r="I485" t="str">
        <x:v>reboiler</x:v>
      </x:c>
      <x:c r="J485" t="str">
        <x:v>P4</x:v>
      </x:c>
      <x:c r="K485" t="str">
        <x:v>CLSD</x:v>
      </x:c>
      <x:c r="L485" t="str">
        <x:v>OPS+INST</x:v>
      </x:c>
      <x:c r="M485" t="str">
        <x:v>reboiler_duty_loss</x:v>
      </x:c>
      <x:c r="N485" t="str">
        <x:v>low duty</x:v>
      </x:c>
      <x:c r="O485" t="str">
        <x:v>DUTY_LOSS</x:v>
      </x:c>
      <x:c r="P485" t="str">
        <x:v>UTILITY</x:v>
      </x:c>
      <x:c r="Q485" t="str">
        <x:v>N</x:v>
      </x:c>
      <x:c r="R485" t="str">
        <x:v>11.7</x:v>
      </x:c>
      <x:c r="S485" t="str">
        <x:v>16966.98</x:v>
      </x:c>
      <x:c r="T485" t="str">
        <x:v>E-501 low duty after upset</x:v>
      </x:c>
      <x:c r="U485" t="str">
        <x:v>C shift called for E-501 deethanizer reboiler, c2 in btm seen during reboiler duty loss. Foud low duty; hm valve/strainer issue. opened strainer, cleaned black sludge. ops says ok for now. notif made by ops, maint attended same shift.</x:v>
      </x:c>
    </x:row>
    <x:row r="486" ht="15" hidden="0" customHeight="1">
      <x:c r="A486" t="str">
        <x:v>10450485</x:v>
      </x:c>
      <x:c r="B486" t="str">
        <x:v>40870485</x:v>
      </x:c>
      <x:c r="C486" t="str">
        <x:v>2023-05-13</x:v>
      </x:c>
      <x:c r="D486" t="str">
        <x:v>2023-05-15</x:v>
      </x:c>
      <x:c r="E486" t="str">
        <x:v>2023-05-15</x:v>
      </x:c>
      <x:c r="F486" t="str">
        <x:v>U400-DEETHANIZER-500</x:v>
      </x:c>
      <x:c r="G486" t="str">
        <x:v>T-501</x:v>
      </x:c>
      <x:c r="H486" t="str">
        <x:v>deethanizer column</x:v>
      </x:c>
      <x:c r="I486" t="str">
        <x:v>column</x:v>
      </x:c>
      <x:c r="J486" t="str">
        <x:v>P2</x:v>
      </x:c>
      <x:c r="K486" t="str">
        <x:v>TECO</x:v>
      </x:c>
      <x:c r="L486" t="str">
        <x:v>OPS+INST</x:v>
      </x:c>
      <x:c r="M486" t="str">
        <x:v>feed_flow_step</x:v>
      </x:c>
      <x:c r="N486" t="str">
        <x:v>level unstable</x:v>
      </x:c>
      <x:c r="O486" t="str">
        <x:v>LVL_SWING</x:v>
      </x:c>
      <x:c r="P486" t="str">
        <x:v>CTRL</x:v>
      </x:c>
      <x:c r="Q486" t="str">
        <x:v>N</x:v>
      </x:c>
      <x:c r="R486" t="str">
        <x:v>6.3</x:v>
      </x:c>
      <x:c r="S486" t="str">
        <x:v>1784.01</x:v>
      </x:c>
      <x:c r="T486" t="str">
        <x:v>T-501 feed jump, level unstable</x:v>
      </x:c>
      <x:c r="U486" t="str">
        <x:v>B shift called for T-501 deethanizer column, c2 recov down seen during feed flow step. Foud level unstable; sump level swing. reset trip and monitored for 2 hrs. no leak at handover. notif made by ops, maint attended same shift.</x:v>
      </x:c>
    </x:row>
    <x:row r="487" ht="15" hidden="0" customHeight="1">
      <x:c r="A487" t="str">
        <x:v>10450486</x:v>
      </x:c>
      <x:c r="B487" t="str">
        <x:v>40870486</x:v>
      </x:c>
      <x:c r="C487" t="str">
        <x:v>2023-05-11</x:v>
      </x:c>
      <x:c r="D487" t="str">
        <x:v>2023-05-11</x:v>
      </x:c>
      <x:c r="E487" t="str">
        <x:v>2023-05-12</x:v>
      </x:c>
      <x:c r="F487" t="str">
        <x:v>U400-DEETHANIZER-500</x:v>
      </x:c>
      <x:c r="G487" t="str">
        <x:v>TV-502</x:v>
      </x:c>
      <x:c r="H487" t="str">
        <x:v>condenser cooling valve</x:v>
      </x:c>
      <x:c r="I487" t="str">
        <x:v>control_valve</x:v>
      </x:c>
      <x:c r="J487" t="str">
        <x:v>P3</x:v>
      </x:c>
      <x:c r="K487" t="str">
        <x:v>CLSD</x:v>
      </x:c>
      <x:c r="L487" t="str">
        <x:v>OPS+MECH</x:v>
      </x:c>
      <x:c r="M487" t="str">
        <x:v>valve_stiction</x:v>
      </x:c>
      <x:c r="N487" t="str">
        <x:v>air leak</x:v>
      </x:c>
      <x:c r="O487" t="str">
        <x:v>AIR_LEAK</x:v>
      </x:c>
      <x:c r="P487" t="str">
        <x:v>TUBING</x:v>
      </x:c>
      <x:c r="Q487" t="str">
        <x:v>N</x:v>
      </x:c>
      <x:c r="R487" t="str">
        <x:v>6.5</x:v>
      </x:c>
      <x:c r="S487" t="str">
        <x:v>2174.91</x:v>
      </x:c>
      <x:c r="T487" t="str">
        <x:v>TV-502 position bad, air leak</x:v>
      </x:c>
      <x:c r="U487" t="str">
        <x:v>B shift called for TV-502 condnsr cooling valve, air leak seen during valve stiction. Foud air leak; positioner supply drop. stroke tested, response better. temp repair only, plan shutdown job. notif made by ops, maint attended same shift.</x:v>
      </x:c>
    </x:row>
    <x:row r="488" ht="15" hidden="0" customHeight="1">
      <x:c r="A488" t="str">
        <x:v>10450487</x:v>
      </x:c>
      <x:c r="B488" t="str">
        <x:v>40870487</x:v>
      </x:c>
      <x:c r="C488" t="str">
        <x:v>2023-05-14</x:v>
      </x:c>
      <x:c r="D488" t="str">
        <x:v>2023-05-14</x:v>
      </x:c>
      <x:c r="E488" t="str">
        <x:v>2023-05-15</x:v>
      </x:c>
      <x:c r="F488" t="str">
        <x:v>U400-DEETHANIZER-500</x:v>
      </x:c>
      <x:c r="G488" t="str">
        <x:v>PV-501</x:v>
      </x:c>
      <x:c r="H488" t="str">
        <x:v>column pressure control valve</x:v>
      </x:c>
      <x:c r="I488" t="str">
        <x:v>control_valve</x:v>
      </x:c>
      <x:c r="J488" t="str">
        <x:v>P3</x:v>
      </x:c>
      <x:c r="K488" t="str">
        <x:v>CLSD</x:v>
      </x:c>
      <x:c r="L488" t="str">
        <x:v>E&amp;I</x:v>
      </x:c>
      <x:c r="M488" t="str">
        <x:v>condenser_fouling</x:v>
      </x:c>
      <x:c r="N488" t="str">
        <x:v>air leak</x:v>
      </x:c>
      <x:c r="O488" t="str">
        <x:v>AIR_LEAK</x:v>
      </x:c>
      <x:c r="P488" t="str">
        <x:v>TUBING</x:v>
      </x:c>
      <x:c r="Q488" t="str">
        <x:v>N</x:v>
      </x:c>
      <x:c r="R488" t="str">
        <x:v>17.1</x:v>
      </x:c>
      <x:c r="S488" t="str">
        <x:v>4817.04</x:v>
      </x:c>
      <x:c r="T488" t="str">
        <x:v>PV-501 cw dt low, air leak</x:v>
      </x:c>
      <x:c r="U488" t="str">
        <x:v>A shift called for PV-501 column pressure control vavle, cw dt low seen during condnsr fouling. Foud air leak; positioner supply drop. opened strainer, cleaned black sludge. need watch next feed swing. notif made by ops, maint attended same shift.</x:v>
      </x:c>
    </x:row>
    <x:row r="489" ht="15" hidden="0" customHeight="1">
      <x:c r="A489" t="str">
        <x:v>10450488</x:v>
      </x:c>
      <x:c r="B489" t="str">
        <x:v>40870488</x:v>
      </x:c>
      <x:c r="C489" t="str">
        <x:v>2023-05-17</x:v>
      </x:c>
      <x:c r="D489" t="str">
        <x:v>2023-05-17</x:v>
      </x:c>
      <x:c r="E489" t="str">
        <x:v>2023-05-17</x:v>
      </x:c>
      <x:c r="F489" t="str">
        <x:v>U400-DEETHANIZER-500</x:v>
      </x:c>
      <x:c r="G489" t="str">
        <x:v>E-501</x:v>
      </x:c>
      <x:c r="H489" t="str">
        <x:v>deethanizer reboiler</x:v>
      </x:c>
      <x:c r="I489" t="str">
        <x:v>reboiler</x:v>
      </x:c>
      <x:c r="J489" t="str">
        <x:v>P2</x:v>
      </x:c>
      <x:c r="K489" t="str">
        <x:v>CLSD</x:v>
      </x:c>
      <x:c r="L489" t="str">
        <x:v>OPS+MECH</x:v>
      </x:c>
      <x:c r="M489" t="str">
        <x:v>feed_temperature_ramp</x:v>
      </x:c>
      <x:c r="N489" t="str">
        <x:v>circ poor</x:v>
      </x:c>
      <x:c r="O489" t="str">
        <x:v>NO_FLOW</x:v>
      </x:c>
      <x:c r="P489" t="str">
        <x:v>PLUG</x:v>
      </x:c>
      <x:c r="Q489" t="str">
        <x:v>Y</x:v>
      </x:c>
      <x:c r="R489" t="str">
        <x:v>20.7</x:v>
      </x:c>
      <x:c r="S489" t="str">
        <x:v>8350.99</x:v>
      </x:c>
      <x:c r="T489" t="str">
        <x:v>E-501 tray temp drift, circ poor</x:v>
      </x:c>
      <x:c r="U489" t="str">
        <x:v>C shift called for E-501 deethanizer rebiler, rb duty up seen during feed temperature ramp. Foud circ poor; blocked inlet screen. swapped to standby and repaired. temp repair only, plan shutdown job. notif made by ops, maint attended same shift.</x:v>
      </x:c>
    </x:row>
    <x:row r="490" ht="15" hidden="0" customHeight="1">
      <x:c r="A490" t="str">
        <x:v>10450489</x:v>
      </x:c>
      <x:c r="B490" t="str">
        <x:v>40870489</x:v>
      </x:c>
      <x:c r="C490" t="str">
        <x:v>2023-05-18</x:v>
      </x:c>
      <x:c r="D490" t="str">
        <x:v>2023-05-19</x:v>
      </x:c>
      <x:c r="E490" t="str">
        <x:v>2023-05-19</x:v>
      </x:c>
      <x:c r="F490" t="str">
        <x:v>U400-DEETHANIZER-500</x:v>
      </x:c>
      <x:c r="G490" t="str">
        <x:v>FV-502</x:v>
      </x:c>
      <x:c r="H490" t="str">
        <x:v>reflux flow control valve</x:v>
      </x:c>
      <x:c r="I490" t="str">
        <x:v>control_valve</x:v>
      </x:c>
      <x:c r="J490" t="str">
        <x:v>P3</x:v>
      </x:c>
      <x:c r="K490" t="str">
        <x:v>TECO</x:v>
      </x:c>
      <x:c r="L490" t="str">
        <x:v>OPS+MECH</x:v>
      </x:c>
      <x:c r="M490" t="str">
        <x:v>reboiler_duty_loss</x:v>
      </x:c>
      <x:c r="N490" t="str">
        <x:v>hunting loop</x:v>
      </x:c>
      <x:c r="O490" t="str">
        <x:v>CTRL_OSC</x:v>
      </x:c>
      <x:c r="P490" t="str">
        <x:v>TUNE</x:v>
      </x:c>
      <x:c r="Q490" t="str">
        <x:v>N</x:v>
      </x:c>
      <x:c r="R490" t="str">
        <x:v>5.5</x:v>
      </x:c>
      <x:c r="S490" t="str">
        <x:v>411.63</x:v>
      </x:c>
      <x:c r="T490" t="str">
        <x:v>FV-502 hunting loop again, prod upset</x:v>
      </x:c>
      <x:c r="U490" t="str">
        <x:v>B shift called for FV-502 reflux flow control valve, low heat seen during reboiler duty loss. Foud hunting loop; bad response after upset. Tag plate dirty, confirmd by line up with panel. calibrated, loop checked with CCR. readng close to dcs after job. notif made by ops, maint attended same shift.</x:v>
      </x:c>
    </x:row>
    <x:row r="491" ht="15" hidden="0" customHeight="1">
      <x:c r="A491" t="str">
        <x:v>10450490</x:v>
      </x:c>
      <x:c r="B491" t="str">
        <x:v>40870490</x:v>
      </x:c>
      <x:c r="C491" t="str">
        <x:v>2023-05-19</x:v>
      </x:c>
      <x:c r="D491" t="str">
        <x:v>2023-05-19</x:v>
      </x:c>
      <x:c r="E491" t="str">
        <x:v>2023-05-22</x:v>
      </x:c>
      <x:c r="F491" t="str">
        <x:v>U400-DEETHANIZER-500</x:v>
      </x:c>
      <x:c r="G491" t="str">
        <x:v>LV-501</x:v>
      </x:c>
      <x:c r="H491" t="str">
        <x:v>reflux drum level valve</x:v>
      </x:c>
      <x:c r="I491" t="str">
        <x:v>control_valve</x:v>
      </x:c>
      <x:c r="J491" t="str">
        <x:v>P1</x:v>
      </x:c>
      <x:c r="K491" t="str">
        <x:v>COMP</x:v>
      </x:c>
      <x:c r="L491" t="str">
        <x:v>OPS+INST</x:v>
      </x:c>
      <x:c r="M491" t="str">
        <x:v>valve_stiction</x:v>
      </x:c>
      <x:c r="N491" t="str">
        <x:v>hunting loop</x:v>
      </x:c>
      <x:c r="O491" t="str">
        <x:v>CTRL_OSC</x:v>
      </x:c>
      <x:c r="P491" t="str">
        <x:v>TUNE</x:v>
      </x:c>
      <x:c r="Q491" t="str">
        <x:v>Y</x:v>
      </x:c>
      <x:c r="R491" t="str">
        <x:v>22.9</x:v>
      </x:c>
      <x:c r="S491" t="str">
        <x:v>6608.61</x:v>
      </x:c>
      <x:c r="T491" t="str">
        <x:v>LV-501 not ok after valve stiction</x:v>
      </x:c>
      <x:c r="U491" t="str">
        <x:v>C shift called for LV-501 reflux drum level valve, loop cycling seen during valve stiction. Foud hunting loop; bad response after upset. Tag plate dirty, confirmd by line up with panel. swapped to standby and repaired. still little hunting but acceptable. notif made by ops, maint attended same shift.</x:v>
      </x:c>
    </x:row>
    <x:row r="492" ht="15" hidden="0" customHeight="1">
      <x:c r="A492" t="str">
        <x:v>10450491</x:v>
      </x:c>
      <x:c r="B492" t="str">
        <x:v>40870491</x:v>
      </x:c>
      <x:c r="C492" t="str">
        <x:v>2023-05-20</x:v>
      </x:c>
      <x:c r="D492" t="str">
        <x:v>2023-05-21</x:v>
      </x:c>
      <x:c r="E492" t="str">
        <x:v>2023-05-21</x:v>
      </x:c>
      <x:c r="F492" t="str">
        <x:v>U400-DEETHANIZER-500</x:v>
      </x:c>
      <x:c r="G492" t="str">
        <x:v>TV-502</x:v>
      </x:c>
      <x:c r="H492" t="str">
        <x:v>condenser cooling valve</x:v>
      </x:c>
      <x:c r="I492" t="str">
        <x:v>control_valve</x:v>
      </x:c>
      <x:c r="J492" t="str">
        <x:v>P4</x:v>
      </x:c>
      <x:c r="K492" t="str">
        <x:v>CLSD</x:v>
      </x:c>
      <x:c r="L492" t="str">
        <x:v>ROT</x:v>
      </x:c>
      <x:c r="M492" t="str">
        <x:v>valve_stiction</x:v>
      </x:c>
      <x:c r="N492" t="str">
        <x:v>passing</x:v>
      </x:c>
      <x:c r="O492" t="str">
        <x:v>LEAK_BY</x:v>
      </x:c>
      <x:c r="P492" t="str">
        <x:v>SEAT</x:v>
      </x:c>
      <x:c r="Q492" t="str">
        <x:v>N</x:v>
      </x:c>
      <x:c r="R492" t="str">
        <x:v>16.3</x:v>
      </x:c>
      <x:c r="S492" t="str">
        <x:v>3976.53</x:v>
      </x:c>
      <x:c r="T492" t="str">
        <x:v>TV-502 not ok after valve stiction</x:v>
      </x:c>
      <x:c r="U492" t="str">
        <x:v>days called for TV-502 condnsr cooling vavle, air leak seen during vavle stiction. Foud passing; seat leak by. flushed impulse/sample line. readng close to dcs after job. notif made by ops, maint attended same shift.</x:v>
      </x:c>
    </x:row>
    <x:row r="493" ht="15" hidden="0" customHeight="1">
      <x:c r="A493" t="str">
        <x:v>10450492</x:v>
      </x:c>
      <x:c r="B493" t="str">
        <x:v>40870492</x:v>
      </x:c>
      <x:c r="C493" t="str">
        <x:v>2023-05-22</x:v>
      </x:c>
      <x:c r="D493" t="str">
        <x:v>2023-05-24</x:v>
      </x:c>
      <x:c r="E493" t="str">
        <x:v>2023-05-24</x:v>
      </x:c>
      <x:c r="F493" t="str">
        <x:v>U400-DEETHANIZER-500</x:v>
      </x:c>
      <x:c r="G493" t="str">
        <x:v>P-502A</x:v>
      </x:c>
      <x:c r="H493" t="str">
        <x:v>bottoms pump A</x:v>
      </x:c>
      <x:c r="I493" t="str">
        <x:v>pump</x:v>
      </x:c>
      <x:c r="J493" t="str">
        <x:v>P3</x:v>
      </x:c>
      <x:c r="K493" t="str">
        <x:v>COMP</x:v>
      </x:c>
      <x:c r="L493" t="str">
        <x:v>MECH</x:v>
      </x:c>
      <x:c r="M493" t="str">
        <x:v>valve_stiction</x:v>
      </x:c>
      <x:c r="N493" t="str">
        <x:v>vib high</x:v>
      </x:c>
      <x:c r="O493" t="str">
        <x:v>VIB</x:v>
      </x:c>
      <x:c r="P493" t="str">
        <x:v>ALIGN</x:v>
      </x:c>
      <x:c r="Q493" t="str">
        <x:v>N</x:v>
      </x:c>
      <x:c r="R493" t="str">
        <x:v>4.3</x:v>
      </x:c>
      <x:c r="S493" t="str">
        <x:v>773.51</x:v>
      </x:c>
      <x:c r="T493" t="str">
        <x:v>P-502A not ok after valve stiction</x:v>
      </x:c>
      <x:c r="U493" t="str">
        <x:v>A shift called for P-502A bottoms pump A, position bad seen during valve stiction. Foud vib high; coupling align or cavitation. stroke tested, response better. readng close to dcs after job. notif made by ops, maint attended same shift.</x:v>
      </x:c>
    </x:row>
    <x:row r="494" ht="15" hidden="0" customHeight="1">
      <x:c r="A494" t="str">
        <x:v>10450493</x:v>
      </x:c>
      <x:c r="B494" t="str">
        <x:v>40870493</x:v>
      </x:c>
      <x:c r="C494" t="str">
        <x:v>2023-05-24</x:v>
      </x:c>
      <x:c r="D494" t="str">
        <x:v>2023-05-26</x:v>
      </x:c>
      <x:c r="E494" t="str">
        <x:v>2023-05-27</x:v>
      </x:c>
      <x:c r="F494" t="str">
        <x:v>U400-DEETHANIZER-500</x:v>
      </x:c>
      <x:c r="G494" t="str">
        <x:v>E-503</x:v>
      </x:c>
      <x:c r="H494" t="str">
        <x:v>feed bottoms exchanger</x:v>
      </x:c>
      <x:c r="I494" t="str">
        <x:v>exchanger</x:v>
      </x:c>
      <x:c r="J494" t="str">
        <x:v>P3</x:v>
      </x:c>
      <x:c r="K494" t="str">
        <x:v>CLSD</x:v>
      </x:c>
      <x:c r="L494" t="str">
        <x:v>INST</x:v>
      </x:c>
      <x:c r="M494" t="str">
        <x:v>feed_flow_step</x:v>
      </x:c>
      <x:c r="N494" t="str">
        <x:v>tube fouling</x:v>
      </x:c>
      <x:c r="O494" t="str">
        <x:v>FOULING</x:v>
      </x:c>
      <x:c r="P494" t="str">
        <x:v>PROCESS</x:v>
      </x:c>
      <x:c r="Q494" t="str">
        <x:v>N</x:v>
      </x:c>
      <x:c r="R494" t="str">
        <x:v>4.7</x:v>
      </x:c>
      <x:c r="S494" t="str">
        <x:v>7888.56</x:v>
      </x:c>
      <x:c r="T494" t="str">
        <x:v>E-503 tube fouling ops req</x:v>
      </x:c>
      <x:c r="U494" t="str">
        <x:v>night called for E-503 feed bottoms exchanger, lvl swing seen during feed flow step. Foud tube fouling; duty low, delta t poor. reset trip and monitored for 2 hrs. still little hunting but acceptable. notif made by ops, maint attended same shift.</x:v>
      </x:c>
    </x:row>
    <x:row r="495" ht="15" hidden="0" customHeight="1">
      <x:c r="A495" t="str">
        <x:v>10450494</x:v>
      </x:c>
      <x:c r="B495" t="str">
        <x:v>40870494</x:v>
      </x:c>
      <x:c r="C495" t="str">
        <x:v>2023-05-22</x:v>
      </x:c>
      <x:c r="D495" t="str">
        <x:v>2023-05-23</x:v>
      </x:c>
      <x:c r="E495" t="str">
        <x:v>2023-05-24</x:v>
      </x:c>
      <x:c r="F495" t="str">
        <x:v>U400-DEETHANIZER-500</x:v>
      </x:c>
      <x:c r="G495" t="str">
        <x:v>E-502</x:v>
      </x:c>
      <x:c r="H495" t="str">
        <x:v>deethanizer overhead condenser</x:v>
      </x:c>
      <x:c r="I495" t="str">
        <x:v>condenser</x:v>
      </x:c>
      <x:c r="J495" t="str">
        <x:v>P2</x:v>
      </x:c>
      <x:c r="K495" t="str">
        <x:v>COMP</x:v>
      </x:c>
      <x:c r="L495" t="str">
        <x:v>OPS+MECH</x:v>
      </x:c>
      <x:c r="M495" t="str">
        <x:v>feed_temperature_ramp</x:v>
      </x:c>
      <x:c r="N495" t="str">
        <x:v>tube leak sus</x:v>
      </x:c>
      <x:c r="O495" t="str">
        <x:v>LEAK</x:v>
      </x:c>
      <x:c r="P495" t="str">
        <x:v>TUBE</x:v>
      </x:c>
      <x:c r="Q495" t="str">
        <x:v>N</x:v>
      </x:c>
      <x:c r="R495" t="str">
        <x:v>4.1</x:v>
      </x:c>
      <x:c r="S495" t="str">
        <x:v>13415.89</x:v>
      </x:c>
      <x:c r="T495" t="str">
        <x:v>chk E-502 - tube leak sus frm ops</x:v>
      </x:c>
      <x:c r="U495" t="str">
        <x:v>night called for E-502 deethanizer overhead condenser, rb duty up seen during feed temperature ramp. Foud tube leak sus; hydrotest reqd. tightened fittings, leak test ok. need watch next feed swing. notif made by ops, maint attended same shift.</x:v>
      </x:c>
    </x:row>
    <x:row r="496" ht="15" hidden="0" customHeight="1">
      <x:c r="A496" t="str">
        <x:v>10450495</x:v>
      </x:c>
      <x:c r="B496" t="str">
        <x:v>40870495</x:v>
      </x:c>
      <x:c r="C496" t="str">
        <x:v>2023-05-23</x:v>
      </x:c>
      <x:c r="D496" t="str">
        <x:v>2023-05-24</x:v>
      </x:c>
      <x:c r="E496" t="str">
        <x:v>2023-05-25</x:v>
      </x:c>
      <x:c r="F496" t="str">
        <x:v>U400-DEETHANIZER-500</x:v>
      </x:c>
      <x:c r="G496" t="str">
        <x:v>FT-501</x:v>
      </x:c>
      <x:c r="H496" t="str">
        <x:v>feed flow transmitter</x:v>
      </x:c>
      <x:c r="I496" t="str">
        <x:v>instrument</x:v>
      </x:c>
      <x:c r="J496" t="str">
        <x:v>P4</x:v>
      </x:c>
      <x:c r="K496" t="str">
        <x:v>CLSD</x:v>
      </x:c>
      <x:c r="L496" t="str">
        <x:v>E&amp;I</x:v>
      </x:c>
      <x:c r="M496" t="str">
        <x:v>pressure_control_fault</x:v>
      </x:c>
      <x:c r="N496" t="str">
        <x:v>range err</x:v>
      </x:c>
      <x:c r="O496" t="str">
        <x:v>SPAN</x:v>
      </x:c>
      <x:c r="P496" t="str">
        <x:v>CAL</x:v>
      </x:c>
      <x:c r="Q496" t="str">
        <x:v>N</x:v>
      </x:c>
      <x:c r="R496" t="str">
        <x:v>15.1</x:v>
      </x:c>
      <x:c r="S496" t="str">
        <x:v>2024.06</x:v>
      </x:c>
      <x:c r="T496" t="str">
        <x:v>FT-501 range err again, prod upset</x:v>
      </x:c>
      <x:c r="U496" t="str">
        <x:v>B shift called for FT-501 feed flow transmitter, pshh close call seen during pressure control fault. Foud range err; span shifted. Could not get permit first time waiting area gas test. tightened fittings, leak test ok. unit stable now. notif made by ops, maint attended same shift.</x:v>
      </x:c>
    </x:row>
    <x:row r="497" ht="15" hidden="0" customHeight="1">
      <x:c r="A497" t="str">
        <x:v>10450496</x:v>
      </x:c>
      <x:c r="B497" t="str">
        <x:v>40870496</x:v>
      </x:c>
      <x:c r="C497" t="str">
        <x:v>2023-05-24</x:v>
      </x:c>
      <x:c r="D497" t="str">
        <x:v>2023-05-24</x:v>
      </x:c>
      <x:c r="E497" t="str">
        <x:v>2023-05-24</x:v>
      </x:c>
      <x:c r="F497" t="str">
        <x:v>U400-DEETHANIZER-500</x:v>
      </x:c>
      <x:c r="G497" t="str">
        <x:v>E-502</x:v>
      </x:c>
      <x:c r="H497" t="str">
        <x:v>deethanizer overhead condenser</x:v>
      </x:c>
      <x:c r="I497" t="str">
        <x:v>condenser</x:v>
      </x:c>
      <x:c r="J497" t="str">
        <x:v>P3</x:v>
      </x:c>
      <x:c r="K497" t="str">
        <x:v>TECO</x:v>
      </x:c>
      <x:c r="L497" t="str">
        <x:v>INST</x:v>
      </x:c>
      <x:c r="M497" t="str">
        <x:v>condenser_fouling</x:v>
      </x:c>
      <x:c r="N497" t="str">
        <x:v>cw fouling</x:v>
      </x:c>
      <x:c r="O497" t="str">
        <x:v>FOULING</x:v>
      </x:c>
      <x:c r="P497" t="str">
        <x:v>UTILITY</x:v>
      </x:c>
      <x:c r="Q497" t="str">
        <x:v>N</x:v>
      </x:c>
      <x:c r="R497" t="str">
        <x:v>13.7</x:v>
      </x:c>
      <x:c r="S497" t="str">
        <x:v>6619.49</x:v>
      </x:c>
      <x:c r="T497" t="str">
        <x:v>chk E-502 - cw fouling frm ops</x:v>
      </x:c>
      <x:c r="U497" t="str">
        <x:v>B shift called for E-502 deethanizer overhead condenser, high ovhd press seen during condenser fouling. Foud cw fouling; cw side scaled. tightened fittings, leak test ok. need watch next feed swing. notif made by ops, maint attended same shift.</x:v>
      </x:c>
    </x:row>
    <x:row r="498" ht="15" hidden="0" customHeight="1">
      <x:c r="A498" t="str">
        <x:v>10450497</x:v>
      </x:c>
      <x:c r="B498" t="str">
        <x:v>40870497</x:v>
      </x:c>
      <x:c r="C498" t="str">
        <x:v>2023-05-27</x:v>
      </x:c>
      <x:c r="D498" t="str">
        <x:v>2023-05-27</x:v>
      </x:c>
      <x:c r="E498" t="str">
        <x:v>2023-05-30</x:v>
      </x:c>
      <x:c r="F498" t="str">
        <x:v>U400-DEETHANIZER-500</x:v>
      </x:c>
      <x:c r="G498" t="str">
        <x:v>P-502B</x:v>
      </x:c>
      <x:c r="H498" t="str">
        <x:v>bottoms pump B</x:v>
      </x:c>
      <x:c r="I498" t="str">
        <x:v>pump</x:v>
      </x:c>
      <x:c r="J498" t="str">
        <x:v>P3</x:v>
      </x:c>
      <x:c r="K498" t="str">
        <x:v>COMP</x:v>
      </x:c>
      <x:c r="L498" t="str">
        <x:v>VALVE</x:v>
      </x:c>
      <x:c r="M498" t="str">
        <x:v>condenser_fouling</x:v>
      </x:c>
      <x:c r="N498" t="str">
        <x:v>bearing hot</x:v>
      </x:c>
      <x:c r="O498" t="str">
        <x:v>BRG</x:v>
      </x:c>
      <x:c r="P498" t="str">
        <x:v>WEAR</x:v>
      </x:c>
      <x:c r="Q498" t="str">
        <x:v>N</x:v>
      </x:c>
      <x:c r="R498" t="str">
        <x:v>5.0</x:v>
      </x:c>
      <x:c r="S498" t="str">
        <x:v>14820.36</x:v>
      </x:c>
      <x:c r="T498" t="str">
        <x:v>P-502B not ok after condenser fouling</x:v>
      </x:c>
      <x:c r="U498" t="str">
        <x:v>days called for P-502B bottoms pump B, cw dt low seen during condenser fouling. Foud bearing hot; brg rough, lube dark. History shows same complain last mnth. replaced positioner tubing and retuned small. still little hunting but acceptable. notif made by ops, maint attended same shift.</x:v>
      </x:c>
    </x:row>
    <x:row r="499" ht="15" hidden="0" customHeight="1">
      <x:c r="A499" t="str">
        <x:v>10450498</x:v>
      </x:c>
      <x:c r="B499" t="str">
        <x:v>40870498</x:v>
      </x:c>
      <x:c r="C499" t="str">
        <x:v>2023-05-27</x:v>
      </x:c>
      <x:c r="D499" t="str">
        <x:v>2023-05-29</x:v>
      </x:c>
      <x:c r="E499" t="str">
        <x:v>2023-05-30</x:v>
      </x:c>
      <x:c r="F499" t="str">
        <x:v>U400-DEETHANIZER-500</x:v>
      </x:c>
      <x:c r="G499" t="str">
        <x:v>AIT-502</x:v>
      </x:c>
      <x:c r="H499" t="str">
        <x:v>bottoms C3+ analyzer</x:v>
      </x:c>
      <x:c r="I499" t="str">
        <x:v>analyzer</x:v>
      </x:c>
      <x:c r="J499" t="str">
        <x:v>P2</x:v>
      </x:c>
      <x:c r="K499" t="str">
        <x:v>COMP</x:v>
      </x:c>
      <x:c r="L499" t="str">
        <x:v>OPS+INST</x:v>
      </x:c>
      <x:c r="M499" t="str">
        <x:v>feed_composition_shift</x:v>
      </x:c>
      <x:c r="N499" t="str">
        <x:v>sample plugged</x:v>
      </x:c>
      <x:c r="O499" t="str">
        <x:v>PLUG</x:v>
      </x:c>
      <x:c r="P499" t="str">
        <x:v>SAMPLE</x:v>
      </x:c>
      <x:c r="Q499" t="str">
        <x:v>N</x:v>
      </x:c>
      <x:c r="R499" t="str">
        <x:v>9.1</x:v>
      </x:c>
      <x:c r="S499" t="str">
        <x:v>2251.06</x:v>
      </x:c>
      <x:c r="T499" t="str">
        <x:v>chk AIT-502 - sample plugged frm ops</x:v>
      </x:c>
      <x:c r="U499" t="str">
        <x:v>days called for AIT-502 bottoms C3+ analyzer, quality bad seen during feed composition shift. Foud sample plugged; fast loop low flow. Could not get permit first time waiting area gas test. reset trip and monitored for 2 hrs. temp repair only, plan shutdown job. notif made by ops, maint attended same shift.</x:v>
      </x:c>
    </x:row>
    <x:row r="500" ht="15" hidden="0" customHeight="1">
      <x:c r="A500" t="str">
        <x:v>10450499</x:v>
      </x:c>
      <x:c r="B500" t="str">
        <x:v>40870499</x:v>
      </x:c>
      <x:c r="C500" t="str">
        <x:v>2023-05-31</x:v>
      </x:c>
      <x:c r="D500" t="str">
        <x:v>2023-05-31</x:v>
      </x:c>
      <x:c r="E500" t="str">
        <x:v>2023-06-01</x:v>
      </x:c>
      <x:c r="F500" t="str">
        <x:v>U400-DEETHANIZER-500</x:v>
      </x:c>
      <x:c r="G500" t="str">
        <x:v>TT-501B</x:v>
      </x:c>
      <x:c r="H500" t="str">
        <x:v>sensitive tray temperature tx</x:v>
      </x:c>
      <x:c r="I500" t="str">
        <x:v>instrument</x:v>
      </x:c>
      <x:c r="J500" t="str">
        <x:v>P2</x:v>
      </x:c>
      <x:c r="K500" t="str">
        <x:v>CLSD</x:v>
      </x:c>
      <x:c r="L500" t="str">
        <x:v>INST</x:v>
      </x:c>
      <x:c r="M500" t="str">
        <x:v>feed_temperature_ramp</x:v>
      </x:c>
      <x:c r="N500" t="str">
        <x:v>no signal</x:v>
      </x:c>
      <x:c r="O500" t="str">
        <x:v>NO_SIGNAL</x:v>
      </x:c>
      <x:c r="P500" t="str">
        <x:v>ELEC</x:v>
      </x:c>
      <x:c r="Q500" t="str">
        <x:v>N</x:v>
      </x:c>
      <x:c r="R500" t="str">
        <x:v>2.6</x:v>
      </x:c>
      <x:c r="S500" t="str">
        <x:v>3239.43</x:v>
      </x:c>
      <x:c r="T500" t="str">
        <x:v>TT-501B no signal ops req</x:v>
      </x:c>
      <x:c r="U500" t="str">
        <x:v>A shift called for TT-501B sensitive tray temperature tx, rb duty up seen during feed temperature ramp. Foud no signal; 24v or card issue. stroke tested, response better. no leak at handover. notif made by ops, maint attended same shift.</x:v>
      </x:c>
    </x:row>
    <x:row r="501" ht="15" hidden="0" customHeight="1">
      <x:c r="A501" t="str">
        <x:v>10450500</x:v>
      </x:c>
      <x:c r="B501" t="str">
        <x:v>40870500</x:v>
      </x:c>
      <x:c r="C501" t="str">
        <x:v>2023-05-31</x:v>
      </x:c>
      <x:c r="D501" t="str">
        <x:v>2023-05-31</x:v>
      </x:c>
      <x:c r="E501" t="str">
        <x:v>2023-06-01</x:v>
      </x:c>
      <x:c r="F501" t="str">
        <x:v>U400-DEETHANIZER-500</x:v>
      </x:c>
      <x:c r="G501" t="str">
        <x:v>TT-501B</x:v>
      </x:c>
      <x:c r="H501" t="str">
        <x:v>sensitive tray temperature tx</x:v>
      </x:c>
      <x:c r="I501" t="str">
        <x:v>instrument</x:v>
      </x:c>
      <x:c r="J501" t="str">
        <x:v>P2</x:v>
      </x:c>
      <x:c r="K501" t="str">
        <x:v>CLSD</x:v>
      </x:c>
      <x:c r="L501" t="str">
        <x:v>ANLYZR</x:v>
      </x:c>
      <x:c r="M501" t="str">
        <x:v>feed_temperature_ramp</x:v>
      </x:c>
      <x:c r="N501" t="str">
        <x:v>bad reading</x:v>
      </x:c>
      <x:c r="O501" t="str">
        <x:v>DRIFT</x:v>
      </x:c>
      <x:c r="P501" t="str">
        <x:v>CAL</x:v>
      </x:c>
      <x:c r="Q501" t="str">
        <x:v>N</x:v>
      </x:c>
      <x:c r="R501" t="str">
        <x:v>14.0</x:v>
      </x:c>
      <x:c r="S501" t="str">
        <x:v>2769.0</x:v>
      </x:c>
      <x:c r="T501" t="str">
        <x:v>TT-501B ovhd press moving, bad reading</x:v>
      </x:c>
      <x:c r="U501" t="str">
        <x:v>night called for TT-501B sensitive tray temperature tx, tray temp drift seen during feed temperature ramp. Foud bad reading; needs calib. changed gasket and boxed up. unit stable now. notif made by ops, maint attended same shift.</x:v>
      </x:c>
    </x:row>
    <x:row r="502" ht="15" hidden="0" customHeight="1">
      <x:c r="A502" t="str">
        <x:v>10450501</x:v>
      </x:c>
      <x:c r="B502" t="str">
        <x:v>40870501</x:v>
      </x:c>
      <x:c r="C502" t="str">
        <x:v>2023-06-03</x:v>
      </x:c>
      <x:c r="D502" t="str">
        <x:v>2023-06-03</x:v>
      </x:c>
      <x:c r="E502" t="str">
        <x:v>2023-06-03</x:v>
      </x:c>
      <x:c r="F502" t="str">
        <x:v>U400-DEETHANIZER-500</x:v>
      </x:c>
      <x:c r="G502" t="str">
        <x:v>E-503</x:v>
      </x:c>
      <x:c r="H502" t="str">
        <x:v>feed bottoms exchanger</x:v>
      </x:c>
      <x:c r="I502" t="str">
        <x:v>exchanger</x:v>
      </x:c>
      <x:c r="J502" t="str">
        <x:v>P3</x:v>
      </x:c>
      <x:c r="K502" t="str">
        <x:v>TECO</x:v>
      </x:c>
      <x:c r="L502" t="str">
        <x:v>ROT</x:v>
      </x:c>
      <x:c r="M502" t="str">
        <x:v>feed_composition_shift</x:v>
      </x:c>
      <x:c r="N502" t="str">
        <x:v>gasket weep</x:v>
      </x:c>
      <x:c r="O502" t="str">
        <x:v>LEAK</x:v>
      </x:c>
      <x:c r="P502" t="str">
        <x:v>GASKET</x:v>
      </x:c>
      <x:c r="Q502" t="str">
        <x:v>N</x:v>
      </x:c>
      <x:c r="R502" t="str">
        <x:v>1.7</x:v>
      </x:c>
      <x:c r="S502" t="str">
        <x:v>2547.09</x:v>
      </x:c>
      <x:c r="T502" t="str">
        <x:v>E-503 ovhd c3 slip, gasket weep</x:v>
      </x:c>
      <x:c r="U502" t="str">
        <x:v>days called for E-503 feed bottoms exchanger, quality bad seen during feed composition shift. Foud gasket weep; flange sweating. changed gasket and boxed up. no leak at handover. notif made by ops, maint attended same shift.</x:v>
      </x:c>
    </x:row>
    <x:row r="503" ht="15" hidden="0" customHeight="1">
      <x:c r="A503" t="str">
        <x:v>10450502</x:v>
      </x:c>
      <x:c r="B503" t="str">
        <x:v>40870502</x:v>
      </x:c>
      <x:c r="C503" t="str">
        <x:v>2023-06-06</x:v>
      </x:c>
      <x:c r="D503" t="str">
        <x:v>2023-06-07</x:v>
      </x:c>
      <x:c r="E503" t="str">
        <x:v>2023-06-08</x:v>
      </x:c>
      <x:c r="F503" t="str">
        <x:v>U400-DEETHANIZER-500</x:v>
      </x:c>
      <x:c r="G503" t="str">
        <x:v>PT-501</x:v>
      </x:c>
      <x:c r="H503" t="str">
        <x:v>column overhead pressure tx</x:v>
      </x:c>
      <x:c r="I503" t="str">
        <x:v>instrument</x:v>
      </x:c>
      <x:c r="J503" t="str">
        <x:v>P3</x:v>
      </x:c>
      <x:c r="K503" t="str">
        <x:v>COMP</x:v>
      </x:c>
      <x:c r="L503" t="str">
        <x:v>E&amp;I</x:v>
      </x:c>
      <x:c r="M503" t="str">
        <x:v>condenser_fouling</x:v>
      </x:c>
      <x:c r="N503" t="str">
        <x:v>no signal</x:v>
      </x:c>
      <x:c r="O503" t="str">
        <x:v>NO_SIGNAL</x:v>
      </x:c>
      <x:c r="P503" t="str">
        <x:v>ELEC</x:v>
      </x:c>
      <x:c r="Q503" t="str">
        <x:v>N</x:v>
      </x:c>
      <x:c r="R503" t="str">
        <x:v>16.7</x:v>
      </x:c>
      <x:c r="S503" t="str">
        <x:v>380.92</x:v>
      </x:c>
      <x:c r="T503" t="str">
        <x:v>PT-501 cond not pullng, no signal</x:v>
      </x:c>
      <x:c r="U503" t="str">
        <x:v>A shift called for PT-501 column overhead press tx, pic wide open seen during condenser fouling. Foud no signal; 24v or card issue. swapped to standby and repaired. still little hunting but acceptable. notif made by ops, maint attended same shift.</x:v>
      </x:c>
    </x:row>
    <x:row r="504" ht="15" hidden="0" customHeight="1">
      <x:c r="A504" t="str">
        <x:v>10450503</x:v>
      </x:c>
      <x:c r="B504" t="str">
        <x:v>40870503</x:v>
      </x:c>
      <x:c r="C504" t="str">
        <x:v>2023-06-05</x:v>
      </x:c>
      <x:c r="D504" t="str">
        <x:v>2023-06-05</x:v>
      </x:c>
      <x:c r="E504" t="str">
        <x:v>2023-06-05</x:v>
      </x:c>
      <x:c r="F504" t="str">
        <x:v>U400-DEETHANIZER-500</x:v>
      </x:c>
      <x:c r="G504" t="str">
        <x:v>E-502</x:v>
      </x:c>
      <x:c r="H504" t="str">
        <x:v>deethanizer overhead condenser</x:v>
      </x:c>
      <x:c r="I504" t="str">
        <x:v>condenser</x:v>
      </x:c>
      <x:c r="J504" t="str">
        <x:v>P3</x:v>
      </x:c>
      <x:c r="K504" t="str">
        <x:v>CLSD</x:v>
      </x:c>
      <x:c r="L504" t="str">
        <x:v>OPS+MECH</x:v>
      </x:c>
      <x:c r="M504" t="str">
        <x:v>normal_wear</x:v>
      </x:c>
      <x:c r="N504" t="str">
        <x:v>tv no travel</x:v>
      </x:c>
      <x:c r="O504" t="str">
        <x:v>VALVE</x:v>
      </x:c>
      <x:c r="P504" t="str">
        <x:v>STICK</x:v>
      </x:c>
      <x:c r="Q504" t="str">
        <x:v>N</x:v>
      </x:c>
      <x:c r="R504" t="str">
        <x:v>12.5</x:v>
      </x:c>
      <x:c r="S504" t="str">
        <x:v>3802.95</x:v>
      </x:c>
      <x:c r="T504" t="str">
        <x:v>E-502 tv no travel again, prod upset</x:v>
      </x:c>
      <x:c r="U504" t="str">
        <x:v>C shift called for E-502 deethanizer overhead condenser, leak seen during normal wear. Foud tv no travel; cooling valve stuck. Tag plate dirty, confirmd by line up with panel. flushed impulse/sample line. readng close to dcs after job. notif made by ops, maint attended same shift.</x:v>
      </x:c>
    </x:row>
    <x:row r="505" ht="15" hidden="0" customHeight="1">
      <x:c r="A505" t="str">
        <x:v>10450504</x:v>
      </x:c>
      <x:c r="B505" t="str">
        <x:v>40870504</x:v>
      </x:c>
      <x:c r="C505" t="str">
        <x:v>2023-06-10</x:v>
      </x:c>
      <x:c r="D505" t="str">
        <x:v>2023-06-11</x:v>
      </x:c>
      <x:c r="E505" t="str">
        <x:v>2023-06-25</x:v>
      </x:c>
      <x:c r="F505" t="str">
        <x:v>U400-DEETHANIZER-500</x:v>
      </x:c>
      <x:c r="G505" t="str">
        <x:v>TV-502</x:v>
      </x:c>
      <x:c r="H505" t="str">
        <x:v>condenser cooling valve</x:v>
      </x:c>
      <x:c r="I505" t="str">
        <x:v>control_valve</x:v>
      </x:c>
      <x:c r="J505" t="str">
        <x:v>P3</x:v>
      </x:c>
      <x:c r="K505" t="str">
        <x:v>CLSD</x:v>
      </x:c>
      <x:c r="L505" t="str">
        <x:v>VALVE</x:v>
      </x:c>
      <x:c r="M505" t="str">
        <x:v>valve_stiction</x:v>
      </x:c>
      <x:c r="N505" t="str">
        <x:v>stiction</x:v>
      </x:c>
      <x:c r="O505" t="str">
        <x:v>STICK</x:v>
      </x:c>
      <x:c r="P505" t="str">
        <x:v>PACKING</x:v>
      </x:c>
      <x:c r="Q505" t="str">
        <x:v>N</x:v>
      </x:c>
      <x:c r="R505" t="str">
        <x:v>11.1</x:v>
      </x:c>
      <x:c r="S505" t="str">
        <x:v>913.33</x:v>
      </x:c>
      <x:c r="T505" t="str">
        <x:v>chk TV-502 - stiction frm ops</x:v>
      </x:c>
      <x:c r="U505" t="str">
        <x:v>C shift called for TV-502 condenser cooling valve, loop cycling seen during valve stiction. Foud stiction; stem sticky and pos err. No spare in store at first, used refurb one from shop. calibrated, loop checked with CCR. still little hunting but acceptable. notif made by ops, maint attended same shift.</x:v>
      </x:c>
    </x:row>
    <x:row r="506" ht="15" hidden="0" customHeight="1">
      <x:c r="A506" t="str">
        <x:v>10450505</x:v>
      </x:c>
      <x:c r="B506" t="str">
        <x:v>40870505</x:v>
      </x:c>
      <x:c r="C506" t="str">
        <x:v>2023-06-11</x:v>
      </x:c>
      <x:c r="D506" t="str">
        <x:v>2023-06-11</x:v>
      </x:c>
      <x:c r="E506" t="str">
        <x:v>2023-06-12</x:v>
      </x:c>
      <x:c r="F506" t="str">
        <x:v>U400-DEETHANIZER-500</x:v>
      </x:c>
      <x:c r="G506" t="str">
        <x:v>E-501</x:v>
      </x:c>
      <x:c r="H506" t="str">
        <x:v>deethanizer reboiler</x:v>
      </x:c>
      <x:c r="I506" t="str">
        <x:v>reboiler</x:v>
      </x:c>
      <x:c r="J506" t="str">
        <x:v>P3</x:v>
      </x:c>
      <x:c r="K506" t="str">
        <x:v>TECO</x:v>
      </x:c>
      <x:c r="L506" t="str">
        <x:v>ROT</x:v>
      </x:c>
      <x:c r="M506" t="str">
        <x:v>normal_wear</x:v>
      </x:c>
      <x:c r="N506" t="str">
        <x:v>fouled bundle</x:v>
      </x:c>
      <x:c r="O506" t="str">
        <x:v>FOULING</x:v>
      </x:c>
      <x:c r="P506" t="str">
        <x:v>PROCESS</x:v>
      </x:c>
      <x:c r="Q506" t="str">
        <x:v>N</x:v>
      </x:c>
      <x:c r="R506" t="str">
        <x:v>3.5</x:v>
      </x:c>
      <x:c r="S506" t="str">
        <x:v>6434.37</x:v>
      </x:c>
      <x:c r="T506" t="str">
        <x:v>E-501 fouled bundle again, prod upset</x:v>
      </x:c>
      <x:c r="U506" t="str">
        <x:v>days called for E-501 deethanizer reboiler, pm found defect seen during normal wear. Foud fouled bundle; bottoms side dirty. replaced positioner tubing and retuned small. readng close to dcs after job. notif made by ops, maint attended same shift.</x:v>
      </x:c>
    </x:row>
    <x:row r="507" ht="15" hidden="0" customHeight="1">
      <x:c r="A507" t="str">
        <x:v>10450506</x:v>
      </x:c>
      <x:c r="B507" t="str">
        <x:v>40870506</x:v>
      </x:c>
      <x:c r="C507" t="str">
        <x:v>2023-06-11</x:v>
      </x:c>
      <x:c r="D507" t="str">
        <x:v>2023-06-12</x:v>
      </x:c>
      <x:c r="E507" t="str">
        <x:v>2023-06-13</x:v>
      </x:c>
      <x:c r="F507" t="str">
        <x:v>U400-DEETHANIZER-500</x:v>
      </x:c>
      <x:c r="G507" t="str">
        <x:v>E-501</x:v>
      </x:c>
      <x:c r="H507" t="str">
        <x:v>deethanizer reboiler</x:v>
      </x:c>
      <x:c r="I507" t="str">
        <x:v>reboiler</x:v>
      </x:c>
      <x:c r="J507" t="str">
        <x:v>P3</x:v>
      </x:c>
      <x:c r="K507" t="str">
        <x:v>TECO</x:v>
      </x:c>
      <x:c r="L507" t="str">
        <x:v>ANLYZR</x:v>
      </x:c>
      <x:c r="M507" t="str">
        <x:v>normal_wear</x:v>
      </x:c>
      <x:c r="N507" t="str">
        <x:v>fouled bundle</x:v>
      </x:c>
      <x:c r="O507" t="str">
        <x:v>FOULING</x:v>
      </x:c>
      <x:c r="P507" t="str">
        <x:v>PROCESS</x:v>
      </x:c>
      <x:c r="Q507" t="str">
        <x:v>N</x:v>
      </x:c>
      <x:c r="R507" t="str">
        <x:v>4.8</x:v>
      </x:c>
      <x:c r="S507" t="str">
        <x:v>10027.42</x:v>
      </x:c>
      <x:c r="T507" t="str">
        <x:v>E-501 fouled bundle again, prod upset</x:v>
      </x:c>
      <x:c r="U507" t="str">
        <x:v>days called for E-501 deethanizer reboiler, leak seen during normal wear. Foud fouled bundle; bottoms side dirty. stroke tested, response better. unit stable now. notif made by ops, maint attended same shift.</x:v>
      </x:c>
    </x:row>
    <x:row r="508" ht="15" hidden="0" customHeight="1">
      <x:c r="A508" t="str">
        <x:v>10450507</x:v>
      </x:c>
      <x:c r="B508" t="str">
        <x:v>40870507</x:v>
      </x:c>
      <x:c r="C508" t="str">
        <x:v>2023-06-13</x:v>
      </x:c>
      <x:c r="D508" t="str">
        <x:v>2023-06-13</x:v>
      </x:c>
      <x:c r="E508" t="str">
        <x:v>2023-06-18</x:v>
      </x:c>
      <x:c r="F508" t="str">
        <x:v>U400-DEETHANIZER-500</x:v>
      </x:c>
      <x:c r="G508" t="str">
        <x:v>PT-501</x:v>
      </x:c>
      <x:c r="H508" t="str">
        <x:v>column overhead pressure tx</x:v>
      </x:c>
      <x:c r="I508" t="str">
        <x:v>instrument</x:v>
      </x:c>
      <x:c r="J508" t="str">
        <x:v>P3</x:v>
      </x:c>
      <x:c r="K508" t="str">
        <x:v>CLSD</x:v>
      </x:c>
      <x:c r="L508" t="str">
        <x:v>OPS+INST</x:v>
      </x:c>
      <x:c r="M508" t="str">
        <x:v>condenser_fouling</x:v>
      </x:c>
      <x:c r="N508" t="str">
        <x:v>impulse plugged</x:v>
      </x:c>
      <x:c r="O508" t="str">
        <x:v>PLUG</x:v>
      </x:c>
      <x:c r="P508" t="str">
        <x:v>PROCESS</x:v>
      </x:c>
      <x:c r="Q508" t="str">
        <x:v>N</x:v>
      </x:c>
      <x:c r="R508" t="str">
        <x:v>11.5</x:v>
      </x:c>
      <x:c r="S508" t="str">
        <x:v>5071.81</x:v>
      </x:c>
      <x:c r="T508" t="str">
        <x:v>chk PT-501 - impulse plugged frm ops</x:v>
      </x:c>
      <x:c r="U508" t="str">
        <x:v>C shift called for PT-501 column overhead press tx, high ovhd press seen during condenser fouling. Foud impulse plugged; tap/line dirty. changed gasket and boxed up. no leak at handover. notif made by ops, maint attended same shift.</x:v>
      </x:c>
    </x:row>
    <x:row r="509" ht="15" hidden="0" customHeight="1">
      <x:c r="A509" t="str">
        <x:v>10450508</x:v>
      </x:c>
      <x:c r="B509" t="str">
        <x:v>40870508</x:v>
      </x:c>
      <x:c r="C509" t="str">
        <x:v>2023-06-16</x:v>
      </x:c>
      <x:c r="D509" t="str">
        <x:v>2023-06-18</x:v>
      </x:c>
      <x:c r="E509" t="str">
        <x:v>2023-06-25</x:v>
      </x:c>
      <x:c r="F509" t="str">
        <x:v>U400-DEETHANIZER-500</x:v>
      </x:c>
      <x:c r="G509" t="str">
        <x:v>E-502</x:v>
      </x:c>
      <x:c r="H509" t="str">
        <x:v>deethanizer overhead condenser</x:v>
      </x:c>
      <x:c r="I509" t="str">
        <x:v>condenser</x:v>
      </x:c>
      <x:c r="J509" t="str">
        <x:v>P4</x:v>
      </x:c>
      <x:c r="K509" t="str">
        <x:v>TECO</x:v>
      </x:c>
      <x:c r="L509" t="str">
        <x:v>ANLYZR</x:v>
      </x:c>
      <x:c r="M509" t="str">
        <x:v>pressure_control_fault</x:v>
      </x:c>
      <x:c r="N509" t="str">
        <x:v>cw fouling</x:v>
      </x:c>
      <x:c r="O509" t="str">
        <x:v>FOULING</x:v>
      </x:c>
      <x:c r="P509" t="str">
        <x:v>UTILITY</x:v>
      </x:c>
      <x:c r="Q509" t="str">
        <x:v>N</x:v>
      </x:c>
      <x:c r="R509" t="str">
        <x:v>4.3</x:v>
      </x:c>
      <x:c r="S509" t="str">
        <x:v>4850.2</x:v>
      </x:c>
      <x:c r="T509" t="str">
        <x:v>chk E-502 - cw fouling frm ops</x:v>
      </x:c>
      <x:c r="U509" t="str">
        <x:v>B shift called for E-502 deethanizer overhead condenser, flare valve checked seen during pressure control fault. Foud cw fouling; cw side scaled. opened strainer, cleaned black sludge. still little hunting but acceptable. notif made by ops, maint attended same shift.</x:v>
      </x:c>
    </x:row>
    <x:row r="510" ht="15" hidden="0" customHeight="1">
      <x:c r="A510" t="str">
        <x:v>10450509</x:v>
      </x:c>
      <x:c r="B510" t="str">
        <x:v>40870509</x:v>
      </x:c>
      <x:c r="C510" t="str">
        <x:v>2023-06-12</x:v>
      </x:c>
      <x:c r="D510" t="str">
        <x:v>2023-06-12</x:v>
      </x:c>
      <x:c r="E510" t="str">
        <x:v>2023-06-15</x:v>
      </x:c>
      <x:c r="F510" t="str">
        <x:v>U400-DEETHANIZER-500</x:v>
      </x:c>
      <x:c r="G510" t="str">
        <x:v>T-501</x:v>
      </x:c>
      <x:c r="H510" t="str">
        <x:v>deethanizer column</x:v>
      </x:c>
      <x:c r="I510" t="str">
        <x:v>column</x:v>
      </x:c>
      <x:c r="J510" t="str">
        <x:v>P3</x:v>
      </x:c>
      <x:c r="K510" t="str">
        <x:v>CLSD</x:v>
      </x:c>
      <x:c r="L510" t="str">
        <x:v>OPS+INST</x:v>
      </x:c>
      <x:c r="M510" t="str">
        <x:v>feed_composition_shift</x:v>
      </x:c>
      <x:c r="N510" t="str">
        <x:v>weeping flange</x:v>
      </x:c>
      <x:c r="O510" t="str">
        <x:v>LEAK</x:v>
      </x:c>
      <x:c r="P510" t="str">
        <x:v>GASKET</x:v>
      </x:c>
      <x:c r="Q510" t="str">
        <x:v>N</x:v>
      </x:c>
      <x:c r="R510" t="str">
        <x:v>17.9</x:v>
      </x:c>
      <x:c r="S510" t="str">
        <x:v>6331.3</x:v>
      </x:c>
      <x:c r="T510" t="str">
        <x:v>T-501 c3 in feed hi, weeping flange</x:v>
      </x:c>
      <x:c r="U510" t="str">
        <x:v>C shift called for T-501 deethanizer column, btm heavy seen during feed composition shift. Foud weeping flange; manway/flange seep. reset trip and monitored for 2 hrs. need watch next feed swing. notif made by ops, maint attended same shift.</x:v>
      </x:c>
    </x:row>
    <x:row r="511" ht="15" hidden="0" customHeight="1">
      <x:c r="A511" t="str">
        <x:v>10450510</x:v>
      </x:c>
      <x:c r="B511" t="str">
        <x:v>40870510</x:v>
      </x:c>
      <x:c r="C511" t="str">
        <x:v>2023-06-18</x:v>
      </x:c>
      <x:c r="D511" t="str">
        <x:v>2023-06-20</x:v>
      </x:c>
      <x:c r="E511" t="str">
        <x:v>2023-06-21</x:v>
      </x:c>
      <x:c r="F511" t="str">
        <x:v>U400-DEETHANIZER-500</x:v>
      </x:c>
      <x:c r="G511" t="str">
        <x:v>P-502A</x:v>
      </x:c>
      <x:c r="H511" t="str">
        <x:v>bottoms pump A</x:v>
      </x:c>
      <x:c r="I511" t="str">
        <x:v>pump</x:v>
      </x:c>
      <x:c r="J511" t="str">
        <x:v>P3</x:v>
      </x:c>
      <x:c r="K511" t="str">
        <x:v>COMP</x:v>
      </x:c>
      <x:c r="L511" t="str">
        <x:v>ANLYZR</x:v>
      </x:c>
      <x:c r="M511" t="str">
        <x:v>feed_flow_step</x:v>
      </x:c>
      <x:c r="N511" t="str">
        <x:v>low disch press</x:v>
      </x:c>
      <x:c r="O511" t="str">
        <x:v>HYD_LOSS</x:v>
      </x:c>
      <x:c r="P511" t="str">
        <x:v>FOUL</x:v>
      </x:c>
      <x:c r="Q511" t="str">
        <x:v>N</x:v>
      </x:c>
      <x:c r="R511" t="str">
        <x:v>17.9</x:v>
      </x:c>
      <x:c r="S511" t="str">
        <x:v>13014.95</x:v>
      </x:c>
      <x:c r="T511" t="str">
        <x:v>P-502A c2 recov down, low disch press</x:v>
      </x:c>
      <x:c r="U511" t="str">
        <x:v>C shift called for P-502A bottoms pump A, lvl swing seen during feed flow step. Foud low disch press; strainer dirty or impeller wear. Line was hot so job done slow and with ops standing by. reset trip and monitored for 2 hrs. readng close to dcs after job. notif made by ops, maint attended same shift.</x:v>
      </x:c>
    </x:row>
    <x:row r="512" ht="15" hidden="0" customHeight="1">
      <x:c r="A512" t="str">
        <x:v>10450511</x:v>
      </x:c>
      <x:c r="B512" t="str">
        <x:v>40870511</x:v>
      </x:c>
      <x:c r="C512" t="str">
        <x:v>2023-06-15</x:v>
      </x:c>
      <x:c r="D512" t="str">
        <x:v>2023-06-15</x:v>
      </x:c>
      <x:c r="E512" t="str">
        <x:v>2023-06-18</x:v>
      </x:c>
      <x:c r="F512" t="str">
        <x:v>U400-DEETHANIZER-500</x:v>
      </x:c>
      <x:c r="G512" t="str">
        <x:v>P-502A</x:v>
      </x:c>
      <x:c r="H512" t="str">
        <x:v>bottoms pump A</x:v>
      </x:c>
      <x:c r="I512" t="str">
        <x:v>pump</x:v>
      </x:c>
      <x:c r="J512" t="str">
        <x:v>P3</x:v>
      </x:c>
      <x:c r="K512" t="str">
        <x:v>CLSD</x:v>
      </x:c>
      <x:c r="L512" t="str">
        <x:v>ANLYZR</x:v>
      </x:c>
      <x:c r="M512" t="str">
        <x:v>feed_composition_shift</x:v>
      </x:c>
      <x:c r="N512" t="str">
        <x:v>low disch press</x:v>
      </x:c>
      <x:c r="O512" t="str">
        <x:v>HYD_LOSS</x:v>
      </x:c>
      <x:c r="P512" t="str">
        <x:v>FOUL</x:v>
      </x:c>
      <x:c r="Q512" t="str">
        <x:v>N</x:v>
      </x:c>
      <x:c r="R512" t="str">
        <x:v>17.8</x:v>
      </x:c>
      <x:c r="S512" t="str">
        <x:v>12835.98</x:v>
      </x:c>
      <x:c r="T512" t="str">
        <x:v>P-502A low disch press ops req</x:v>
      </x:c>
      <x:c r="U512" t="str">
        <x:v>C shift called for P-502A bottoms pump A, anlyzr off seen during feed composition shift. Foud low disch press; strainer dirty or impeller wear. calibrated, loop checked with CCR. no leak at handover. notif made by ops, maint attended same shift.</x:v>
      </x:c>
    </x:row>
    <x:row r="513" ht="15" hidden="0" customHeight="1">
      <x:c r="A513" t="str">
        <x:v>10450512</x:v>
      </x:c>
      <x:c r="B513" t="str">
        <x:v>40870512</x:v>
      </x:c>
      <x:c r="C513" t="str">
        <x:v>2023-06-19</x:v>
      </x:c>
      <x:c r="D513" t="str">
        <x:v>2023-06-19</x:v>
      </x:c>
      <x:c r="E513" t="str">
        <x:v>2023-06-24</x:v>
      </x:c>
      <x:c r="F513" t="str">
        <x:v>U400-DEETHANIZER-500</x:v>
      </x:c>
      <x:c r="G513" t="str">
        <x:v>AIT-501</x:v>
      </x:c>
      <x:c r="H513" t="str">
        <x:v>overhead C2 analyzer</x:v>
      </x:c>
      <x:c r="I513" t="str">
        <x:v>analyzer</x:v>
      </x:c>
      <x:c r="J513" t="str">
        <x:v>P2</x:v>
      </x:c>
      <x:c r="K513" t="str">
        <x:v>TECO</x:v>
      </x:c>
      <x:c r="L513" t="str">
        <x:v>ANLYZR</x:v>
      </x:c>
      <x:c r="M513" t="str">
        <x:v>normal_wear</x:v>
      </x:c>
      <x:c r="N513" t="str">
        <x:v>anlyzr drift</x:v>
      </x:c>
      <x:c r="O513" t="str">
        <x:v>DRIFT</x:v>
      </x:c>
      <x:c r="P513" t="str">
        <x:v>CAL_GAS</x:v>
      </x:c>
      <x:c r="Q513" t="str">
        <x:v>Y</x:v>
      </x:c>
      <x:c r="R513" t="str">
        <x:v>21.8</x:v>
      </x:c>
      <x:c r="S513" t="str">
        <x:v>499.12</x:v>
      </x:c>
      <x:c r="T513" t="str">
        <x:v>AIT-501 not ok after normal wear</x:v>
      </x:c>
      <x:c r="U513" t="str">
        <x:v>days called for AIT-501 overhead C2 analyzer, plugged impulse seen during normal wear. Foud anlyzr drift; cal gas failed. No spare in store at first, used refurb one from shop. reset trip and monitored for 2 hrs. no leak at handover. notif made by ops, maint attended same shift.</x:v>
      </x:c>
    </x:row>
    <x:row r="514" ht="15" hidden="0" customHeight="1">
      <x:c r="A514" t="str">
        <x:v>10450513</x:v>
      </x:c>
      <x:c r="B514" t="str">
        <x:v>40870513</x:v>
      </x:c>
      <x:c r="C514" t="str">
        <x:v>2023-06-21</x:v>
      </x:c>
      <x:c r="D514" t="str">
        <x:v>2023-06-21</x:v>
      </x:c>
      <x:c r="E514" t="str">
        <x:v>2023-06-23</x:v>
      </x:c>
      <x:c r="F514" t="str">
        <x:v>U400-DEETHANIZER-500</x:v>
      </x:c>
      <x:c r="G514" t="str">
        <x:v>P-501B</x:v>
      </x:c>
      <x:c r="H514" t="str">
        <x:v>reflux pump B</x:v>
      </x:c>
      <x:c r="I514" t="str">
        <x:v>pump</x:v>
      </x:c>
      <x:c r="J514" t="str">
        <x:v>P3</x:v>
      </x:c>
      <x:c r="K514" t="str">
        <x:v>TECO</x:v>
      </x:c>
      <x:c r="L514" t="str">
        <x:v>OPS+MECH</x:v>
      </x:c>
      <x:c r="M514" t="str">
        <x:v>normal_wear</x:v>
      </x:c>
      <x:c r="N514" t="str">
        <x:v>motor trip</x:v>
      </x:c>
      <x:c r="O514" t="str">
        <x:v>MOTOR</x:v>
      </x:c>
      <x:c r="P514" t="str">
        <x:v>ELEC</x:v>
      </x:c>
      <x:c r="Q514" t="str">
        <x:v>N</x:v>
      </x:c>
      <x:c r="R514" t="str">
        <x:v>12.4</x:v>
      </x:c>
      <x:c r="S514" t="str">
        <x:v>16021.01</x:v>
      </x:c>
      <x:c r="T514" t="str">
        <x:v>chk P-501B - motor trip frm ops</x:v>
      </x:c>
      <x:c r="U514" t="str">
        <x:v>night called for P-501B reflux pump B, bad reading seen during normal wear. Foud motor trip; overload trip after upset. No spare in store at first, used refurb one from shop. calibrated, loop chekd with CCR. still little hunting but acceptable. notif made by ops, maint attended same shift.</x:v>
      </x:c>
    </x:row>
    <x:row r="515" ht="15" hidden="0" customHeight="1">
      <x:c r="A515" t="str">
        <x:v>10450514</x:v>
      </x:c>
      <x:c r="B515" t="str">
        <x:v>40870514</x:v>
      </x:c>
      <x:c r="C515" t="str">
        <x:v>2023-06-20</x:v>
      </x:c>
      <x:c r="D515" t="str">
        <x:v>2023-06-20</x:v>
      </x:c>
      <x:c r="E515" t="str">
        <x:v>2023-06-25</x:v>
      </x:c>
      <x:c r="F515" t="str">
        <x:v>U400-DEETHANIZER-500</x:v>
      </x:c>
      <x:c r="G515" t="str">
        <x:v>T-501</x:v>
      </x:c>
      <x:c r="H515" t="str">
        <x:v>deethanizer column</x:v>
      </x:c>
      <x:c r="I515" t="str">
        <x:v>column</x:v>
      </x:c>
      <x:c r="J515" t="str">
        <x:v>P2</x:v>
      </x:c>
      <x:c r="K515" t="str">
        <x:v>COMP</x:v>
      </x:c>
      <x:c r="L515" t="str">
        <x:v>OPS+MECH</x:v>
      </x:c>
      <x:c r="M515" t="str">
        <x:v>feed_flow_step</x:v>
      </x:c>
      <x:c r="N515" t="str">
        <x:v>weeping flange</x:v>
      </x:c>
      <x:c r="O515" t="str">
        <x:v>LEAK</x:v>
      </x:c>
      <x:c r="P515" t="str">
        <x:v>GASKET</x:v>
      </x:c>
      <x:c r="Q515" t="str">
        <x:v>N</x:v>
      </x:c>
      <x:c r="R515" t="str">
        <x:v>8.8</x:v>
      </x:c>
      <x:c r="S515" t="str">
        <x:v>5120.06</x:v>
      </x:c>
      <x:c r="T515" t="str">
        <x:v>T-501 not ok after feed flow step</x:v>
      </x:c>
      <x:c r="U515" t="str">
        <x:v>C shift called for T-501 deethanizer colmn, colmn dp high seen during feed flow step. Foud weeping flange; manway/flange seep. Tag plate dirty, confirmd by line up with panel. opened strainer, cleaned black sludge. still little hunting but acceptable. notif made by ops, maint attended same shift.</x:v>
      </x:c>
    </x:row>
    <x:row r="516" ht="15" hidden="0" customHeight="1">
      <x:c r="A516" t="str">
        <x:v>10450515</x:v>
      </x:c>
      <x:c r="B516" t="str">
        <x:v>40870515</x:v>
      </x:c>
      <x:c r="C516" t="str">
        <x:v>2023-06-22</x:v>
      </x:c>
      <x:c r="D516" t="str">
        <x:v>2023-06-22</x:v>
      </x:c>
      <x:c r="E516" t="str">
        <x:v>2023-06-22</x:v>
      </x:c>
      <x:c r="F516" t="str">
        <x:v>U400-DEETHANIZER-500</x:v>
      </x:c>
      <x:c r="G516" t="str">
        <x:v>TV-501</x:v>
      </x:c>
      <x:c r="H516" t="str">
        <x:v>reboiler hot medium valve</x:v>
      </x:c>
      <x:c r="I516" t="str">
        <x:v>control_valve</x:v>
      </x:c>
      <x:c r="J516" t="str">
        <x:v>P2</x:v>
      </x:c>
      <x:c r="K516" t="str">
        <x:v>TECO</x:v>
      </x:c>
      <x:c r="L516" t="str">
        <x:v>MECH</x:v>
      </x:c>
      <x:c r="M516" t="str">
        <x:v>reboiler_duty_loss</x:v>
      </x:c>
      <x:c r="N516" t="str">
        <x:v>not stroking</x:v>
      </x:c>
      <x:c r="O516" t="str">
        <x:v>NO_TRAVEL</x:v>
      </x:c>
      <x:c r="P516" t="str">
        <x:v>ACT</x:v>
      </x:c>
      <x:c r="Q516" t="str">
        <x:v>Y</x:v>
      </x:c>
      <x:c r="R516" t="str">
        <x:v>10.8</x:v>
      </x:c>
      <x:c r="S516" t="str">
        <x:v>98.77</x:v>
      </x:c>
      <x:c r="T516" t="str">
        <x:v>TV-501 not ok after reboiler duty loss</x:v>
      </x:c>
      <x:c r="U516" t="str">
        <x:v>B shift called for TV-501 reboiler hot medium valve, low heat seen during reboiler duty loss. Foud not stroking; actuator weak. changed gasket and boxed up. unit stable now. notif made by ops, maint attended same shift.</x:v>
      </x:c>
    </x:row>
    <x:row r="517" ht="15" hidden="0" customHeight="1">
      <x:c r="A517" t="str">
        <x:v>10450516</x:v>
      </x:c>
      <x:c r="B517" t="str">
        <x:v>40870516</x:v>
      </x:c>
      <x:c r="C517" t="str">
        <x:v>2023-06-26</x:v>
      </x:c>
      <x:c r="D517" t="str">
        <x:v>2023-06-26</x:v>
      </x:c>
      <x:c r="E517" t="str">
        <x:v>2023-07-01</x:v>
      </x:c>
      <x:c r="F517" t="str">
        <x:v>U400-DEETHANIZER-500</x:v>
      </x:c>
      <x:c r="G517" t="str">
        <x:v>TV-501</x:v>
      </x:c>
      <x:c r="H517" t="str">
        <x:v>reboiler hot medium valve</x:v>
      </x:c>
      <x:c r="I517" t="str">
        <x:v>control_valve</x:v>
      </x:c>
      <x:c r="J517" t="str">
        <x:v>P3</x:v>
      </x:c>
      <x:c r="K517" t="str">
        <x:v>COMP</x:v>
      </x:c>
      <x:c r="L517" t="str">
        <x:v>ROT</x:v>
      </x:c>
      <x:c r="M517" t="str">
        <x:v>normal_wear</x:v>
      </x:c>
      <x:c r="N517" t="str">
        <x:v>air leak</x:v>
      </x:c>
      <x:c r="O517" t="str">
        <x:v>AIR_LEAK</x:v>
      </x:c>
      <x:c r="P517" t="str">
        <x:v>TUBING</x:v>
      </x:c>
      <x:c r="Q517" t="str">
        <x:v>N</x:v>
      </x:c>
      <x:c r="R517" t="str">
        <x:v>9.9</x:v>
      </x:c>
      <x:c r="S517" t="str">
        <x:v>5719.55</x:v>
      </x:c>
      <x:c r="T517" t="str">
        <x:v>TV-501 bad reading, air leak</x:v>
      </x:c>
      <x:c r="U517" t="str">
        <x:v>days called for TV-501 reboiler hot medium valve, bad reading seen during normal wear. Foud air leak; positioner supply drop. flushed impulse/sample line. need watch next feed swing. notif made by ops, maint attended same shift.</x:v>
      </x:c>
    </x:row>
    <x:row r="518" ht="15" hidden="0" customHeight="1">
      <x:c r="A518" t="str">
        <x:v>10450517</x:v>
      </x:c>
      <x:c r="B518" t="str">
        <x:v>40870517</x:v>
      </x:c>
      <x:c r="C518" t="str">
        <x:v>2023-06-29</x:v>
      </x:c>
      <x:c r="D518" t="str">
        <x:v>2023-06-30</x:v>
      </x:c>
      <x:c r="E518" t="str">
        <x:v>2023-07-02</x:v>
      </x:c>
      <x:c r="F518" t="str">
        <x:v>U400-DEETHANIZER-500</x:v>
      </x:c>
      <x:c r="G518" t="str">
        <x:v>PT-501</x:v>
      </x:c>
      <x:c r="H518" t="str">
        <x:v>column overhead pressure tx</x:v>
      </x:c>
      <x:c r="I518" t="str">
        <x:v>instrument</x:v>
      </x:c>
      <x:c r="J518" t="str">
        <x:v>P3</x:v>
      </x:c>
      <x:c r="K518" t="str">
        <x:v>COMP</x:v>
      </x:c>
      <x:c r="L518" t="str">
        <x:v>ANLYZR</x:v>
      </x:c>
      <x:c r="M518" t="str">
        <x:v>condenser_fouling</x:v>
      </x:c>
      <x:c r="N518" t="str">
        <x:v>loose wire</x:v>
      </x:c>
      <x:c r="O518" t="str">
        <x:v>SIGNAL</x:v>
      </x:c>
      <x:c r="P518" t="str">
        <x:v>ELEC</x:v>
      </x:c>
      <x:c r="Q518" t="str">
        <x:v>N</x:v>
      </x:c>
      <x:c r="R518" t="str">
        <x:v>11.2</x:v>
      </x:c>
      <x:c r="S518" t="str">
        <x:v>4685.33</x:v>
      </x:c>
      <x:c r="T518" t="str">
        <x:v>PT-501 pic wide open, loose wire</x:v>
      </x:c>
      <x:c r="U518" t="str">
        <x:v>days called for PT-501 column overhead pressure tx, drum temp hi seen during condnsr fouling. Foud loose wire; term loose. Tag plate dirty, confirmd by line up with panel. reset trip and monitored for 2 hrs. still little hunting but acceptable. notif made by ops, maint attended same shift.</x:v>
      </x:c>
    </x:row>
    <x:row r="519" ht="15" hidden="0" customHeight="1">
      <x:c r="A519" t="str">
        <x:v>10450518</x:v>
      </x:c>
      <x:c r="B519" t="str">
        <x:v>40870518</x:v>
      </x:c>
      <x:c r="C519" t="str">
        <x:v>2023-06-30</x:v>
      </x:c>
      <x:c r="D519" t="str">
        <x:v>2023-06-30</x:v>
      </x:c>
      <x:c r="E519" t="str">
        <x:v>2023-07-01</x:v>
      </x:c>
      <x:c r="F519" t="str">
        <x:v>U400-DEETHANIZER-500</x:v>
      </x:c>
      <x:c r="G519" t="str">
        <x:v>T-501</x:v>
      </x:c>
      <x:c r="H519" t="str">
        <x:v>deethanizer column</x:v>
      </x:c>
      <x:c r="I519" t="str">
        <x:v>column</x:v>
      </x:c>
      <x:c r="J519" t="str">
        <x:v>P3</x:v>
      </x:c>
      <x:c r="K519" t="str">
        <x:v>TECO</x:v>
      </x:c>
      <x:c r="L519" t="str">
        <x:v>INST</x:v>
      </x:c>
      <x:c r="M519" t="str">
        <x:v>feed_flow_step</x:v>
      </x:c>
      <x:c r="N519" t="str">
        <x:v>tray temp bad</x:v>
      </x:c>
      <x:c r="O519" t="str">
        <x:v>TEMP_DEV</x:v>
      </x:c>
      <x:c r="P519" t="str">
        <x:v>PROCESS</x:v>
      </x:c>
      <x:c r="Q519" t="str">
        <x:v>N</x:v>
      </x:c>
      <x:c r="R519" t="str">
        <x:v>6.3</x:v>
      </x:c>
      <x:c r="S519" t="str">
        <x:v>1322.91</x:v>
      </x:c>
      <x:c r="T519" t="str">
        <x:v>chk T-501 - tray temp bad frm ops</x:v>
      </x:c>
      <x:c r="U519" t="str">
        <x:v>night called for T-501 deethanizer column, fic hunting seen during feed flow step. Foud tray temp bad; profile not normal. reset trip and monitored for 2 hrs. ops says ok for now. notif made by ops, maint attended same shift.</x:v>
      </x:c>
    </x:row>
    <x:row r="520" ht="15" hidden="0" customHeight="1">
      <x:c r="A520" t="str">
        <x:v>10450519</x:v>
      </x:c>
      <x:c r="B520" t="str">
        <x:v>40870519</x:v>
      </x:c>
      <x:c r="C520" t="str">
        <x:v>2023-07-02</x:v>
      </x:c>
      <x:c r="D520" t="str">
        <x:v>2023-07-03</x:v>
      </x:c>
      <x:c r="E520" t="str">
        <x:v>2023-07-04</x:v>
      </x:c>
      <x:c r="F520" t="str">
        <x:v>U400-DEETHANIZER-500</x:v>
      </x:c>
      <x:c r="G520" t="str">
        <x:v>T-501</x:v>
      </x:c>
      <x:c r="H520" t="str">
        <x:v>deethanizer column</x:v>
      </x:c>
      <x:c r="I520" t="str">
        <x:v>column</x:v>
      </x:c>
      <x:c r="J520" t="str">
        <x:v>P4</x:v>
      </x:c>
      <x:c r="K520" t="str">
        <x:v>COMP</x:v>
      </x:c>
      <x:c r="L520" t="str">
        <x:v>ROT</x:v>
      </x:c>
      <x:c r="M520" t="str">
        <x:v>feed_flow_step</x:v>
      </x:c>
      <x:c r="N520" t="str">
        <x:v>weeping flange</x:v>
      </x:c>
      <x:c r="O520" t="str">
        <x:v>LEAK</x:v>
      </x:c>
      <x:c r="P520" t="str">
        <x:v>GASKET</x:v>
      </x:c>
      <x:c r="Q520" t="str">
        <x:v>N</x:v>
      </x:c>
      <x:c r="R520" t="str">
        <x:v>3.8</x:v>
      </x:c>
      <x:c r="S520" t="str">
        <x:v>5001.58</x:v>
      </x:c>
      <x:c r="T520" t="str">
        <x:v>T-501 lvl swing, weeping flange</x:v>
      </x:c>
      <x:c r="U520" t="str">
        <x:v>B shift called for T-501 deethanizer column, feed jump seen during feed flow step. Foud weeping flange; manway/flange seep. Line was hot so job done slow and with ops standing by. swapped to standby and repaired. temp repair only, plan shutdown job. notif made by ops, maint attended same shift.</x:v>
      </x:c>
    </x:row>
    <x:row r="521" ht="15" hidden="0" customHeight="1">
      <x:c r="A521" t="str">
        <x:v>10450520</x:v>
      </x:c>
      <x:c r="B521" t="str">
        <x:v>40870520</x:v>
      </x:c>
      <x:c r="C521" t="str">
        <x:v>2023-07-01</x:v>
      </x:c>
      <x:c r="D521" t="str">
        <x:v>2023-07-02</x:v>
      </x:c>
      <x:c r="E521" t="str">
        <x:v>2023-07-03</x:v>
      </x:c>
      <x:c r="F521" t="str">
        <x:v>U400-DEETHANIZER-500</x:v>
      </x:c>
      <x:c r="G521" t="str">
        <x:v>E-502</x:v>
      </x:c>
      <x:c r="H521" t="str">
        <x:v>deethanizer overhead condenser</x:v>
      </x:c>
      <x:c r="I521" t="str">
        <x:v>condenser</x:v>
      </x:c>
      <x:c r="J521" t="str">
        <x:v>P2</x:v>
      </x:c>
      <x:c r="K521" t="str">
        <x:v>CLSD</x:v>
      </x:c>
      <x:c r="L521" t="str">
        <x:v>E&amp;I</x:v>
      </x:c>
      <x:c r="M521" t="str">
        <x:v>pressure_control_fault</x:v>
      </x:c>
      <x:c r="N521" t="str">
        <x:v>tube leak sus</x:v>
      </x:c>
      <x:c r="O521" t="str">
        <x:v>LEAK</x:v>
      </x:c>
      <x:c r="P521" t="str">
        <x:v>TUBE</x:v>
      </x:c>
      <x:c r="Q521" t="str">
        <x:v>N</x:v>
      </x:c>
      <x:c r="R521" t="str">
        <x:v>11.9</x:v>
      </x:c>
      <x:c r="S521" t="str">
        <x:v>5694.19</x:v>
      </x:c>
      <x:c r="T521" t="str">
        <x:v>E-502 tube leak sus again, prod upset</x:v>
      </x:c>
      <x:c r="U521" t="str">
        <x:v>C shift called for E-502 deethanizer overhead condenser, pshh close call seen during pressure control fault. Foud tube leak sus; hydrotest reqd. calibrated, loop checked with CCR. ops says ok for now. notif made by ops, maint attended same shift.</x:v>
      </x:c>
    </x:row>
    <x:row r="522" ht="15" hidden="0" customHeight="1">
      <x:c r="A522" t="str">
        <x:v>10450521</x:v>
      </x:c>
      <x:c r="B522" t="str">
        <x:v>40870521</x:v>
      </x:c>
      <x:c r="C522" t="str">
        <x:v>2023-07-02</x:v>
      </x:c>
      <x:c r="D522" t="str">
        <x:v>2023-07-03</x:v>
      </x:c>
      <x:c r="E522" t="str">
        <x:v>2023-07-04</x:v>
      </x:c>
      <x:c r="F522" t="str">
        <x:v>U400-DEETHANIZER-500</x:v>
      </x:c>
      <x:c r="G522" t="str">
        <x:v>P-501A</x:v>
      </x:c>
      <x:c r="H522" t="str">
        <x:v>reflux pump A</x:v>
      </x:c>
      <x:c r="I522" t="str">
        <x:v>pump</x:v>
      </x:c>
      <x:c r="J522" t="str">
        <x:v>P4</x:v>
      </x:c>
      <x:c r="K522" t="str">
        <x:v>COMP</x:v>
      </x:c>
      <x:c r="L522" t="str">
        <x:v>ANLYZR</x:v>
      </x:c>
      <x:c r="M522" t="str">
        <x:v>reboiler_duty_loss</x:v>
      </x:c>
      <x:c r="N522" t="str">
        <x:v>low disch press</x:v>
      </x:c>
      <x:c r="O522" t="str">
        <x:v>HYD_LOSS</x:v>
      </x:c>
      <x:c r="P522" t="str">
        <x:v>FOUL</x:v>
      </x:c>
      <x:c r="Q522" t="str">
        <x:v>N</x:v>
      </x:c>
      <x:c r="R522" t="str">
        <x:v>15.0</x:v>
      </x:c>
      <x:c r="S522" t="str">
        <x:v>4645.71</x:v>
      </x:c>
      <x:c r="T522" t="str">
        <x:v>P-501A low disch press again, prod upset</x:v>
      </x:c>
      <x:c r="U522" t="str">
        <x:v>night called for P-501A reflux pump A, steam/hm valve no resp seen during reboiler duty loss. Foud low disch press; strainer dirty or impeller wear. No spare in store at first, used refurb one from shop. swapped to standby and repaired. readng close to dcs after job. notif made by ops, maint attended same shift.</x:v>
      </x:c>
    </x:row>
    <x:row r="523" ht="15" hidden="0" customHeight="1">
      <x:c r="A523" t="str">
        <x:v>10450522</x:v>
      </x:c>
      <x:c r="B523" t="str">
        <x:v>40870522</x:v>
      </x:c>
      <x:c r="C523" t="str">
        <x:v>2023-07-02</x:v>
      </x:c>
      <x:c r="D523" t="str">
        <x:v>2023-07-03</x:v>
      </x:c>
      <x:c r="E523" t="str">
        <x:v>2023-07-04</x:v>
      </x:c>
      <x:c r="F523" t="str">
        <x:v>U400-DEETHANIZER-500</x:v>
      </x:c>
      <x:c r="G523" t="str">
        <x:v>LV-501</x:v>
      </x:c>
      <x:c r="H523" t="str">
        <x:v>reflux drum level valve</x:v>
      </x:c>
      <x:c r="I523" t="str">
        <x:v>control_valve</x:v>
      </x:c>
      <x:c r="J523" t="str">
        <x:v>P2</x:v>
      </x:c>
      <x:c r="K523" t="str">
        <x:v>TECO</x:v>
      </x:c>
      <x:c r="L523" t="str">
        <x:v>INST</x:v>
      </x:c>
      <x:c r="M523" t="str">
        <x:v>pressure_control_fault</x:v>
      </x:c>
      <x:c r="N523" t="str">
        <x:v>air leak</x:v>
      </x:c>
      <x:c r="O523" t="str">
        <x:v>AIR_LEAK</x:v>
      </x:c>
      <x:c r="P523" t="str">
        <x:v>TUBING</x:v>
      </x:c>
      <x:c r="Q523" t="str">
        <x:v>Y</x:v>
      </x:c>
      <x:c r="R523" t="str">
        <x:v>10.4</x:v>
      </x:c>
      <x:c r="S523" t="str">
        <x:v>4054.79</x:v>
      </x:c>
      <x:c r="T523" t="str">
        <x:v>chk LV-501 - air leak frm ops</x:v>
      </x:c>
      <x:c r="U523" t="str">
        <x:v>night called for LV-501 reflux drum level valve, pic unstable seen during press control fault. Foud air leak; positioner supply drop. Tag plate dirty, confirmd by line up with panel. stroke tested, response better. unit stable now. notif made by ops, maint attended same shift.</x:v>
      </x:c>
    </x:row>
    <x:row r="524" ht="15" hidden="0" customHeight="1">
      <x:c r="A524" t="str">
        <x:v>10450523</x:v>
      </x:c>
      <x:c r="B524" t="str">
        <x:v>40870523</x:v>
      </x:c>
      <x:c r="C524" t="str">
        <x:v>2023-07-07</x:v>
      </x:c>
      <x:c r="D524" t="str">
        <x:v>2023-07-08</x:v>
      </x:c>
      <x:c r="E524" t="str">
        <x:v>2023-07-11</x:v>
      </x:c>
      <x:c r="F524" t="str">
        <x:v>U400-DEETHANIZER-500</x:v>
      </x:c>
      <x:c r="G524" t="str">
        <x:v>V-501</x:v>
      </x:c>
      <x:c r="H524" t="str">
        <x:v>deethanizer reflux drum</x:v>
      </x:c>
      <x:c r="I524" t="str">
        <x:v>vessel</x:v>
      </x:c>
      <x:c r="J524" t="str">
        <x:v>P2</x:v>
      </x:c>
      <x:c r="K524" t="str">
        <x:v>TECO</x:v>
      </x:c>
      <x:c r="L524" t="str">
        <x:v>MECH</x:v>
      </x:c>
      <x:c r="M524" t="str">
        <x:v>feed_composition_shift</x:v>
      </x:c>
      <x:c r="N524" t="str">
        <x:v>boot drain leak</x:v>
      </x:c>
      <x:c r="O524" t="str">
        <x:v>LEAK</x:v>
      </x:c>
      <x:c r="P524" t="str">
        <x:v>VALVE</x:v>
      </x:c>
      <x:c r="Q524" t="str">
        <x:v>N</x:v>
      </x:c>
      <x:c r="R524" t="str">
        <x:v>13.6</x:v>
      </x:c>
      <x:c r="S524" t="str">
        <x:v>5814.6</x:v>
      </x:c>
      <x:c r="T524" t="str">
        <x:v>V-501 boot drain leak again, prod upset</x:v>
      </x:c>
      <x:c r="U524" t="str">
        <x:v>days called for V-501 deethanizer reflux drum, quality bad seen during feed composition shift. Foud boot drain leak; closed drain valve passing. History shows same complain last mnth. replaced positioner tubing and retuned small. readng close to dcs after job. notif made by ops, maint attended same shift.</x:v>
      </x:c>
    </x:row>
    <x:row r="525" ht="15" hidden="0" customHeight="1">
      <x:c r="A525" t="str">
        <x:v>10450524</x:v>
      </x:c>
      <x:c r="B525" t="str">
        <x:v>40870524</x:v>
      </x:c>
      <x:c r="C525" t="str">
        <x:v>2023-07-05</x:v>
      </x:c>
      <x:c r="D525" t="str">
        <x:v>2023-07-05</x:v>
      </x:c>
      <x:c r="E525" t="str">
        <x:v>2023-07-06</x:v>
      </x:c>
      <x:c r="F525" t="str">
        <x:v>U400-DEETHANIZER-500</x:v>
      </x:c>
      <x:c r="G525" t="str">
        <x:v>T-501</x:v>
      </x:c>
      <x:c r="H525" t="str">
        <x:v>deethanizer column</x:v>
      </x:c>
      <x:c r="I525" t="str">
        <x:v>column</x:v>
      </x:c>
      <x:c r="J525" t="str">
        <x:v>P3</x:v>
      </x:c>
      <x:c r="K525" t="str">
        <x:v>COMP</x:v>
      </x:c>
      <x:c r="L525" t="str">
        <x:v>OPS+MECH</x:v>
      </x:c>
      <x:c r="M525" t="str">
        <x:v>valve_stiction</x:v>
      </x:c>
      <x:c r="N525" t="str">
        <x:v>weeping flange</x:v>
      </x:c>
      <x:c r="O525" t="str">
        <x:v>LEAK</x:v>
      </x:c>
      <x:c r="P525" t="str">
        <x:v>GASKET</x:v>
      </x:c>
      <x:c r="Q525" t="str">
        <x:v>N</x:v>
      </x:c>
      <x:c r="R525" t="str">
        <x:v>13.0</x:v>
      </x:c>
      <x:c r="S525" t="str">
        <x:v>3790.41</x:v>
      </x:c>
      <x:c r="T525" t="str">
        <x:v>T-501 op jumps, weeping flange</x:v>
      </x:c>
      <x:c r="U525" t="str">
        <x:v>A shift called for T-501 deethanizer column, op jumps seen during vavle stiction. Foud weeping flange; manway/flange seep. flushed impulse/sample line. unit stable now. notif made by ops, maint attended same shift.</x:v>
      </x:c>
    </x:row>
    <x:row r="526" ht="15" hidden="0" customHeight="1">
      <x:c r="A526" t="str">
        <x:v>10450525</x:v>
      </x:c>
      <x:c r="B526" t="str">
        <x:v>40870525</x:v>
      </x:c>
      <x:c r="C526" t="str">
        <x:v>2023-07-09</x:v>
      </x:c>
      <x:c r="D526" t="str">
        <x:v>2023-07-10</x:v>
      </x:c>
      <x:c r="E526" t="str">
        <x:v>2023-07-11</x:v>
      </x:c>
      <x:c r="F526" t="str">
        <x:v>U400-DEETHANIZER-500</x:v>
      </x:c>
      <x:c r="G526" t="str">
        <x:v>PV-501</x:v>
      </x:c>
      <x:c r="H526" t="str">
        <x:v>column pressure control valve</x:v>
      </x:c>
      <x:c r="I526" t="str">
        <x:v>control_valve</x:v>
      </x:c>
      <x:c r="J526" t="str">
        <x:v>P4</x:v>
      </x:c>
      <x:c r="K526" t="str">
        <x:v>COMP</x:v>
      </x:c>
      <x:c r="L526" t="str">
        <x:v>OPS+INST</x:v>
      </x:c>
      <x:c r="M526" t="str">
        <x:v>pressure_control_fault</x:v>
      </x:c>
      <x:c r="N526" t="str">
        <x:v>stiction</x:v>
      </x:c>
      <x:c r="O526" t="str">
        <x:v>STICK</x:v>
      </x:c>
      <x:c r="P526" t="str">
        <x:v>PACKING</x:v>
      </x:c>
      <x:c r="Q526" t="str">
        <x:v>N</x:v>
      </x:c>
      <x:c r="R526" t="str">
        <x:v>12.0</x:v>
      </x:c>
      <x:c r="S526" t="str">
        <x:v>169.56</x:v>
      </x:c>
      <x:c r="T526" t="str">
        <x:v>chk PV-501 - stiction frm ops</x:v>
      </x:c>
      <x:c r="U526" t="str">
        <x:v>B shift called for PV-501 column pressure control valve, pic unstable seen during pressure control fault. Foud stiction; stem sticky and pos err. Line was hot so job done slow and with ops standing by. cleaned and put back online. still little hunting but acceptable. notif made by ops, maint attended same shift.</x:v>
      </x:c>
    </x:row>
    <x:row r="527" ht="15" hidden="0" customHeight="1">
      <x:c r="A527" t="str">
        <x:v>10450526</x:v>
      </x:c>
      <x:c r="B527" t="str">
        <x:v>40870526</x:v>
      </x:c>
      <x:c r="C527" t="str">
        <x:v>2023-07-11</x:v>
      </x:c>
      <x:c r="D527" t="str">
        <x:v>2023-07-11</x:v>
      </x:c>
      <x:c r="E527" t="str">
        <x:v>2023-07-11</x:v>
      </x:c>
      <x:c r="F527" t="str">
        <x:v>U400-DEETHANIZER-500</x:v>
      </x:c>
      <x:c r="G527" t="str">
        <x:v>E-503</x:v>
      </x:c>
      <x:c r="H527" t="str">
        <x:v>feed bottoms exchanger</x:v>
      </x:c>
      <x:c r="I527" t="str">
        <x:v>exchanger</x:v>
      </x:c>
      <x:c r="J527" t="str">
        <x:v>P3</x:v>
      </x:c>
      <x:c r="K527" t="str">
        <x:v>COMP</x:v>
      </x:c>
      <x:c r="L527" t="str">
        <x:v>MECH</x:v>
      </x:c>
      <x:c r="M527" t="str">
        <x:v>valve_stiction</x:v>
      </x:c>
      <x:c r="N527" t="str">
        <x:v>gasket weep</x:v>
      </x:c>
      <x:c r="O527" t="str">
        <x:v>LEAK</x:v>
      </x:c>
      <x:c r="P527" t="str">
        <x:v>GASKET</x:v>
      </x:c>
      <x:c r="Q527" t="str">
        <x:v>N</x:v>
      </x:c>
      <x:c r="R527" t="str">
        <x:v>13.3</x:v>
      </x:c>
      <x:c r="S527" t="str">
        <x:v>3138.4</x:v>
      </x:c>
      <x:c r="T527" t="str">
        <x:v>E-503 position bad, gasket weep</x:v>
      </x:c>
      <x:c r="U527" t="str">
        <x:v>night called for E-503 feed bottoms exchanger, op jumps seen during valve stiction. Foud gasket weep; flange sweating. flushed impulse/sample line. unit stable now. notif made by ops, maint attended same shift.</x:v>
      </x:c>
    </x:row>
    <x:row r="528" ht="15" hidden="0" customHeight="1">
      <x:c r="A528" t="str">
        <x:v>10450527</x:v>
      </x:c>
      <x:c r="B528" t="str">
        <x:v>40870527</x:v>
      </x:c>
      <x:c r="C528" t="str">
        <x:v>2023-07-13</x:v>
      </x:c>
      <x:c r="D528" t="str">
        <x:v>2023-07-13</x:v>
      </x:c>
      <x:c r="E528" t="str">
        <x:v>2023-07-14</x:v>
      </x:c>
      <x:c r="F528" t="str">
        <x:v>U400-DEETHANIZER-500</x:v>
      </x:c>
      <x:c r="G528" t="str">
        <x:v>PSV-501B</x:v>
      </x:c>
      <x:c r="H528" t="str">
        <x:v>column relief valve B</x:v>
      </x:c>
      <x:c r="I528" t="str">
        <x:v>relief</x:v>
      </x:c>
      <x:c r="J528" t="str">
        <x:v>P3</x:v>
      </x:c>
      <x:c r="K528" t="str">
        <x:v>COMP</x:v>
      </x:c>
      <x:c r="L528" t="str">
        <x:v>VALVE</x:v>
      </x:c>
      <x:c r="M528" t="str">
        <x:v>pressure_control_fault</x:v>
      </x:c>
      <x:c r="N528" t="str">
        <x:v>car seal broken</x:v>
      </x:c>
      <x:c r="O528" t="str">
        <x:v>CSO</x:v>
      </x:c>
      <x:c r="P528" t="str">
        <x:v>HUMAN</x:v>
      </x:c>
      <x:c r="Q528" t="str">
        <x:v>N</x:v>
      </x:c>
      <x:c r="R528" t="str">
        <x:v>14.7</x:v>
      </x:c>
      <x:c r="S528" t="str">
        <x:v>1794.55</x:v>
      </x:c>
      <x:c r="T528" t="str">
        <x:v>chk PSV-501B - car seal broken frm ops</x:v>
      </x:c>
      <x:c r="U528" t="str">
        <x:v>night called for PSV-501B column relief valve B, press spike seen during press control fault. Foud car seal broken; seal missing found. flushed impulse/sample line. ops says ok for now. notif made by ops, maint attended same shift.</x:v>
      </x:c>
    </x:row>
    <x:row r="529" ht="15" hidden="0" customHeight="1">
      <x:c r="A529" t="str">
        <x:v>10450528</x:v>
      </x:c>
      <x:c r="B529" t="str">
        <x:v>40870528</x:v>
      </x:c>
      <x:c r="C529" t="str">
        <x:v>2023-07-15</x:v>
      </x:c>
      <x:c r="D529" t="str">
        <x:v>2023-07-15</x:v>
      </x:c>
      <x:c r="E529" t="str">
        <x:v>2023-07-22</x:v>
      </x:c>
      <x:c r="F529" t="str">
        <x:v>U400-DEETHANIZER-500</x:v>
      </x:c>
      <x:c r="G529" t="str">
        <x:v>P-501B</x:v>
      </x:c>
      <x:c r="H529" t="str">
        <x:v>reflux pump B</x:v>
      </x:c>
      <x:c r="I529" t="str">
        <x:v>pump</x:v>
      </x:c>
      <x:c r="J529" t="str">
        <x:v>P2</x:v>
      </x:c>
      <x:c r="K529" t="str">
        <x:v>TECO</x:v>
      </x:c>
      <x:c r="L529" t="str">
        <x:v>OPS+MECH</x:v>
      </x:c>
      <x:c r="M529" t="str">
        <x:v>reboiler_duty_loss</x:v>
      </x:c>
      <x:c r="N529" t="str">
        <x:v>low disch press</x:v>
      </x:c>
      <x:c r="O529" t="str">
        <x:v>HYD_LOSS</x:v>
      </x:c>
      <x:c r="P529" t="str">
        <x:v>FOUL</x:v>
      </x:c>
      <x:c r="Q529" t="str">
        <x:v>Y</x:v>
      </x:c>
      <x:c r="R529" t="str">
        <x:v>20.2</x:v>
      </x:c>
      <x:c r="S529" t="str">
        <x:v>6430.25</x:v>
      </x:c>
      <x:c r="T529" t="str">
        <x:v>chk P-501B - low disch press frm ops</x:v>
      </x:c>
      <x:c r="U529" t="str">
        <x:v>A shift called for P-501B reflux pump B, steam/hm valve no resp seen during reboiler duty loss. Foud low disch press; strainer dirty or impeller wear. Tag plate dirty, confirmd by line up with panel. reset trip and monitored for 2 hrs. no leak at handover. notif made by ops, maint attended same shift.</x:v>
      </x:c>
    </x:row>
    <x:row r="530" ht="15" hidden="0" customHeight="1">
      <x:c r="A530" t="str">
        <x:v>10450529</x:v>
      </x:c>
      <x:c r="B530" t="str">
        <x:v>40870529</x:v>
      </x:c>
      <x:c r="C530" t="str">
        <x:v>2023-07-16</x:v>
      </x:c>
      <x:c r="D530" t="str">
        <x:v>2023-07-16</x:v>
      </x:c>
      <x:c r="E530" t="str">
        <x:v>2023-07-17</x:v>
      </x:c>
      <x:c r="F530" t="str">
        <x:v>U400-DEETHANIZER-500</x:v>
      </x:c>
      <x:c r="G530" t="str">
        <x:v>PT-501</x:v>
      </x:c>
      <x:c r="H530" t="str">
        <x:v>column overhead pressure tx</x:v>
      </x:c>
      <x:c r="I530" t="str">
        <x:v>instrument</x:v>
      </x:c>
      <x:c r="J530" t="str">
        <x:v>P2</x:v>
      </x:c>
      <x:c r="K530" t="str">
        <x:v>COMP</x:v>
      </x:c>
      <x:c r="L530" t="str">
        <x:v>ANLYZR</x:v>
      </x:c>
      <x:c r="M530" t="str">
        <x:v>pressure_control_fault</x:v>
      </x:c>
      <x:c r="N530" t="str">
        <x:v>range err</x:v>
      </x:c>
      <x:c r="O530" t="str">
        <x:v>SPAN</x:v>
      </x:c>
      <x:c r="P530" t="str">
        <x:v>CAL</x:v>
      </x:c>
      <x:c r="Q530" t="str">
        <x:v>N</x:v>
      </x:c>
      <x:c r="R530" t="str">
        <x:v>3.5</x:v>
      </x:c>
      <x:c r="S530" t="str">
        <x:v>5931.01</x:v>
      </x:c>
      <x:c r="T530" t="str">
        <x:v>PT-501 range err again, prod upset</x:v>
      </x:c>
      <x:c r="U530" t="str">
        <x:v>night called for PT-501 column overhead pressure tx, pv not movng seen during pressure control fault. Foud range err; span shifted. opened strainer, cleaned black sludge. no leak at handover. notif made by ops, maint attended same shift.</x:v>
      </x:c>
    </x:row>
    <x:row r="531" ht="15" hidden="0" customHeight="1">
      <x:c r="A531" t="str">
        <x:v>10450530</x:v>
      </x:c>
      <x:c r="B531" t="str">
        <x:v>40870530</x:v>
      </x:c>
      <x:c r="C531" t="str">
        <x:v>2023-07-13</x:v>
      </x:c>
      <x:c r="D531" t="str">
        <x:v>2023-07-13</x:v>
      </x:c>
      <x:c r="E531" t="str">
        <x:v>2023-07-14</x:v>
      </x:c>
      <x:c r="F531" t="str">
        <x:v>U400-DEETHANIZER-500</x:v>
      </x:c>
      <x:c r="G531" t="str">
        <x:v>TV-501</x:v>
      </x:c>
      <x:c r="H531" t="str">
        <x:v>reboiler hot medium valve</x:v>
      </x:c>
      <x:c r="I531" t="str">
        <x:v>control_valve</x:v>
      </x:c>
      <x:c r="J531" t="str">
        <x:v>P3</x:v>
      </x:c>
      <x:c r="K531" t="str">
        <x:v>CLSD</x:v>
      </x:c>
      <x:c r="L531" t="str">
        <x:v>VALVE</x:v>
      </x:c>
      <x:c r="M531" t="str">
        <x:v>reboiler_duty_loss</x:v>
      </x:c>
      <x:c r="N531" t="str">
        <x:v>air leak</x:v>
      </x:c>
      <x:c r="O531" t="str">
        <x:v>AIR_LEAK</x:v>
      </x:c>
      <x:c r="P531" t="str">
        <x:v>TUBING</x:v>
      </x:c>
      <x:c r="Q531" t="str">
        <x:v>N</x:v>
      </x:c>
      <x:c r="R531" t="str">
        <x:v>8.8</x:v>
      </x:c>
      <x:c r="S531" t="str">
        <x:v>2723.57</x:v>
      </x:c>
      <x:c r="T531" t="str">
        <x:v>TV-501 steam/hm valve no resp, air leak</x:v>
      </x:c>
      <x:c r="U531" t="str">
        <x:v>B shift called for TV-501 reboiler hot medium vavle, low heat seen during reboiler duty loss. Foud air leak; positioner supply drop. Line was hot so job done slow and with ops standing by. replaced positioner tubing and retuned small. ops says ok for now. notif made by ops, maint attended same shift.</x:v>
      </x:c>
    </x:row>
    <x:row r="532" ht="15" hidden="0" customHeight="1">
      <x:c r="A532" t="str">
        <x:v>10450531</x:v>
      </x:c>
      <x:c r="B532" t="str">
        <x:v>40870531</x:v>
      </x:c>
      <x:c r="C532" t="str">
        <x:v>2023-07-14</x:v>
      </x:c>
      <x:c r="D532" t="str">
        <x:v>2023-07-14</x:v>
      </x:c>
      <x:c r="E532" t="str">
        <x:v>2023-07-16</x:v>
      </x:c>
      <x:c r="F532" t="str">
        <x:v>U400-DEETHANIZER-500</x:v>
      </x:c>
      <x:c r="G532" t="str">
        <x:v>FV-502</x:v>
      </x:c>
      <x:c r="H532" t="str">
        <x:v>reflux flow control valve</x:v>
      </x:c>
      <x:c r="I532" t="str">
        <x:v>control_valve</x:v>
      </x:c>
      <x:c r="J532" t="str">
        <x:v>P4</x:v>
      </x:c>
      <x:c r="K532" t="str">
        <x:v>TECO</x:v>
      </x:c>
      <x:c r="L532" t="str">
        <x:v>ANLYZR</x:v>
      </x:c>
      <x:c r="M532" t="str">
        <x:v>reflux_pump_degradation</x:v>
      </x:c>
      <x:c r="N532" t="str">
        <x:v>passing</x:v>
      </x:c>
      <x:c r="O532" t="str">
        <x:v>LEAK_BY</x:v>
      </x:c>
      <x:c r="P532" t="str">
        <x:v>SEAT</x:v>
      </x:c>
      <x:c r="Q532" t="str">
        <x:v>N</x:v>
      </x:c>
      <x:c r="R532" t="str">
        <x:v>8.2</x:v>
      </x:c>
      <x:c r="S532" t="str">
        <x:v>5346.64</x:v>
      </x:c>
      <x:c r="T532" t="str">
        <x:v>FV-502 disch press low, passing</x:v>
      </x:c>
      <x:c r="U532" t="str">
        <x:v>days called for FV-502 reflux flow control valve, seal weep seen during reflux pump degradation. Foud passing; seat leak by. History shows same complain last mnth. cleaned and put back online. still little hunting but acceptable. notif made by ops, maint attended same shift.</x:v>
      </x:c>
    </x:row>
    <x:row r="533" ht="15" hidden="0" customHeight="1">
      <x:c r="A533" t="str">
        <x:v>10450532</x:v>
      </x:c>
      <x:c r="B533" t="str">
        <x:v>40870532</x:v>
      </x:c>
      <x:c r="C533" t="str">
        <x:v>2023-07-20</x:v>
      </x:c>
      <x:c r="D533" t="str">
        <x:v>2023-07-20</x:v>
      </x:c>
      <x:c r="E533" t="str">
        <x:v>2023-07-22</x:v>
      </x:c>
      <x:c r="F533" t="str">
        <x:v>U400-DEETHANIZER-500</x:v>
      </x:c>
      <x:c r="G533" t="str">
        <x:v>LV-501</x:v>
      </x:c>
      <x:c r="H533" t="str">
        <x:v>reflux drum level valve</x:v>
      </x:c>
      <x:c r="I533" t="str">
        <x:v>control_valve</x:v>
      </x:c>
      <x:c r="J533" t="str">
        <x:v>P3</x:v>
      </x:c>
      <x:c r="K533" t="str">
        <x:v>COMP</x:v>
      </x:c>
      <x:c r="L533" t="str">
        <x:v>ROT</x:v>
      </x:c>
      <x:c r="M533" t="str">
        <x:v>valve_stiction</x:v>
      </x:c>
      <x:c r="N533" t="str">
        <x:v>not stroking</x:v>
      </x:c>
      <x:c r="O533" t="str">
        <x:v>NO_TRAVEL</x:v>
      </x:c>
      <x:c r="P533" t="str">
        <x:v>ACT</x:v>
      </x:c>
      <x:c r="Q533" t="str">
        <x:v>N</x:v>
      </x:c>
      <x:c r="R533" t="str">
        <x:v>5.4</x:v>
      </x:c>
      <x:c r="S533" t="str">
        <x:v>5437.01</x:v>
      </x:c>
      <x:c r="T533" t="str">
        <x:v>LV-501 not ok after valve stiction</x:v>
      </x:c>
      <x:c r="U533" t="str">
        <x:v>night called for LV-501 reflux drum level vavle, vavle sticking seen during vavle stiction. Foud not stroking; actuator weak. cleaned and put back online. temp repair only, plan shutdown job. notif made by ops, maint attended same shift.</x:v>
      </x:c>
    </x:row>
    <x:row r="534" ht="15" hidden="0" customHeight="1">
      <x:c r="A534" t="str">
        <x:v>10450533</x:v>
      </x:c>
      <x:c r="B534" t="str">
        <x:v>40870533</x:v>
      </x:c>
      <x:c r="C534" t="str">
        <x:v>2023-07-22</x:v>
      </x:c>
      <x:c r="D534" t="str">
        <x:v>2023-07-23</x:v>
      </x:c>
      <x:c r="E534" t="str">
        <x:v>2023-07-26</x:v>
      </x:c>
      <x:c r="F534" t="str">
        <x:v>U400-DEETHANIZER-500</x:v>
      </x:c>
      <x:c r="G534" t="str">
        <x:v>PV-501</x:v>
      </x:c>
      <x:c r="H534" t="str">
        <x:v>column pressure control valve</x:v>
      </x:c>
      <x:c r="I534" t="str">
        <x:v>control_valve</x:v>
      </x:c>
      <x:c r="J534" t="str">
        <x:v>P3</x:v>
      </x:c>
      <x:c r="K534" t="str">
        <x:v>COMP</x:v>
      </x:c>
      <x:c r="L534" t="str">
        <x:v>MECH</x:v>
      </x:c>
      <x:c r="M534" t="str">
        <x:v>valve_stiction</x:v>
      </x:c>
      <x:c r="N534" t="str">
        <x:v>stiction</x:v>
      </x:c>
      <x:c r="O534" t="str">
        <x:v>STICK</x:v>
      </x:c>
      <x:c r="P534" t="str">
        <x:v>PACKING</x:v>
      </x:c>
      <x:c r="Q534" t="str">
        <x:v>N</x:v>
      </x:c>
      <x:c r="R534" t="str">
        <x:v>16.8</x:v>
      </x:c>
      <x:c r="S534" t="str">
        <x:v>161.02</x:v>
      </x:c>
      <x:c r="T534" t="str">
        <x:v>PV-501 stiction after upset</x:v>
      </x:c>
      <x:c r="U534" t="str">
        <x:v>days called for PV-501 colmn press control valve, op jumps seen during valve stiction. Foud stiction; stem sticky and pos err. changed gasket and boxed up. temp repair only, plan shutdown job. notif made by ops, maint attended same shift.</x:v>
      </x:c>
    </x:row>
    <x:row r="535" ht="15" hidden="0" customHeight="1">
      <x:c r="A535" t="str">
        <x:v>10450534</x:v>
      </x:c>
      <x:c r="B535" t="str">
        <x:v>40870534</x:v>
      </x:c>
      <x:c r="C535" t="str">
        <x:v>2023-07-24</x:v>
      </x:c>
      <x:c r="D535" t="str">
        <x:v>2023-07-24</x:v>
      </x:c>
      <x:c r="E535" t="str">
        <x:v>2023-07-25</x:v>
      </x:c>
      <x:c r="F535" t="str">
        <x:v>U400-DEETHANIZER-500</x:v>
      </x:c>
      <x:c r="G535" t="str">
        <x:v>TT-503</x:v>
      </x:c>
      <x:c r="H535" t="str">
        <x:v>reboiler outlet temperature tx</x:v>
      </x:c>
      <x:c r="I535" t="str">
        <x:v>instrument</x:v>
      </x:c>
      <x:c r="J535" t="str">
        <x:v>P2</x:v>
      </x:c>
      <x:c r="K535" t="str">
        <x:v>TECO</x:v>
      </x:c>
      <x:c r="L535" t="str">
        <x:v>OPS+INST</x:v>
      </x:c>
      <x:c r="M535" t="str">
        <x:v>reboiler_duty_loss</x:v>
      </x:c>
      <x:c r="N535" t="str">
        <x:v>impulse plugged</x:v>
      </x:c>
      <x:c r="O535" t="str">
        <x:v>PLUG</x:v>
      </x:c>
      <x:c r="P535" t="str">
        <x:v>PROCESS</x:v>
      </x:c>
      <x:c r="Q535" t="str">
        <x:v>N</x:v>
      </x:c>
      <x:c r="R535" t="str">
        <x:v>8.7</x:v>
      </x:c>
      <x:c r="S535" t="str">
        <x:v>834.16</x:v>
      </x:c>
      <x:c r="T535" t="str">
        <x:v>TT-503 impulse plugged again, prod upset</x:v>
      </x:c>
      <x:c r="U535" t="str">
        <x:v>C shift called for TT-503 rebiler outlet temperature tx, c2 in btm seen during rebiler duty loss. Foud impulse plugged; tap/line dirty. Tag plate dirty, confirmd by line up with panel. opened strainer, cleaned black sludge. need watch next feed swing. notif made by ops, maint attended same shift.</x:v>
      </x:c>
    </x:row>
    <x:row r="536" ht="15" hidden="0" customHeight="1">
      <x:c r="A536" t="str">
        <x:v>10450535</x:v>
      </x:c>
      <x:c r="B536" t="str">
        <x:v>40870535</x:v>
      </x:c>
      <x:c r="C536" t="str">
        <x:v>2023-07-23</x:v>
      </x:c>
      <x:c r="D536" t="str">
        <x:v>2023-07-23</x:v>
      </x:c>
      <x:c r="E536" t="str">
        <x:v>2023-07-23</x:v>
      </x:c>
      <x:c r="F536" t="str">
        <x:v>U400-DEETHANIZER-500</x:v>
      </x:c>
      <x:c r="G536" t="str">
        <x:v>E-503</x:v>
      </x:c>
      <x:c r="H536" t="str">
        <x:v>feed bottoms exchanger</x:v>
      </x:c>
      <x:c r="I536" t="str">
        <x:v>exchanger</x:v>
      </x:c>
      <x:c r="J536" t="str">
        <x:v>P4</x:v>
      </x:c>
      <x:c r="K536" t="str">
        <x:v>COMP</x:v>
      </x:c>
      <x:c r="L536" t="str">
        <x:v>OPS+MECH</x:v>
      </x:c>
      <x:c r="M536" t="str">
        <x:v>feed_temperature_ramp</x:v>
      </x:c>
      <x:c r="N536" t="str">
        <x:v>plugged pass</x:v>
      </x:c>
      <x:c r="O536" t="str">
        <x:v>PLUG</x:v>
      </x:c>
      <x:c r="P536" t="str">
        <x:v>FOUL</x:v>
      </x:c>
      <x:c r="Q536" t="str">
        <x:v>N</x:v>
      </x:c>
      <x:c r="R536" t="str">
        <x:v>14.7</x:v>
      </x:c>
      <x:c r="S536" t="str">
        <x:v>8162.97</x:v>
      </x:c>
      <x:c r="T536" t="str">
        <x:v>chk E-503 - plugged pass frm ops</x:v>
      </x:c>
      <x:c r="U536" t="str">
        <x:v>days called for E-503 feed bottoms exchanger, rb duty up seen during feed temperature ramp. Foud plugged pass; flow restricted. tightened fittings, leak test ok. unit stable now. notif made by ops, maint attended same shift.</x:v>
      </x:c>
    </x:row>
    <x:row r="537" ht="15" hidden="0" customHeight="1">
      <x:c r="A537" t="str">
        <x:v>10450536</x:v>
      </x:c>
      <x:c r="B537" t="str">
        <x:v>40870536</x:v>
      </x:c>
      <x:c r="C537" t="str">
        <x:v>2023-07-22</x:v>
      </x:c>
      <x:c r="D537" t="str">
        <x:v>2023-07-22</x:v>
      </x:c>
      <x:c r="E537" t="str">
        <x:v>2023-07-23</x:v>
      </x:c>
      <x:c r="F537" t="str">
        <x:v>U400-DEETHANIZER-500</x:v>
      </x:c>
      <x:c r="G537" t="str">
        <x:v>P-501A</x:v>
      </x:c>
      <x:c r="H537" t="str">
        <x:v>reflux pump A</x:v>
      </x:c>
      <x:c r="I537" t="str">
        <x:v>pump</x:v>
      </x:c>
      <x:c r="J537" t="str">
        <x:v>P2</x:v>
      </x:c>
      <x:c r="K537" t="str">
        <x:v>COMP</x:v>
      </x:c>
      <x:c r="L537" t="str">
        <x:v>VALVE</x:v>
      </x:c>
      <x:c r="M537" t="str">
        <x:v>reflux_pump_degradation</x:v>
      </x:c>
      <x:c r="N537" t="str">
        <x:v>low disch press</x:v>
      </x:c>
      <x:c r="O537" t="str">
        <x:v>HYD_LOSS</x:v>
      </x:c>
      <x:c r="P537" t="str">
        <x:v>FOUL</x:v>
      </x:c>
      <x:c r="Q537" t="str">
        <x:v>N</x:v>
      </x:c>
      <x:c r="R537" t="str">
        <x:v>12.7</x:v>
      </x:c>
      <x:c r="S537" t="str">
        <x:v>4708.79</x:v>
      </x:c>
      <x:c r="T537" t="str">
        <x:v>chk P-501A - low disch press frm ops</x:v>
      </x:c>
      <x:c r="U537" t="str">
        <x:v>C shift called for P-501A reflux pump A, disch press low seen during reflux pump degradation. Foud low disch press; strainer dirty or impeller wear. Could not get permit first time waiting area gas test. replaced positioner tubing and retuned small. readng close to dcs after job. notif made by ops, maint attended same shift.</x:v>
      </x:c>
    </x:row>
    <x:row r="538" ht="15" hidden="0" customHeight="1">
      <x:c r="A538" t="str">
        <x:v>10450537</x:v>
      </x:c>
      <x:c r="B538" t="str">
        <x:v>40870537</x:v>
      </x:c>
      <x:c r="C538" t="str">
        <x:v>2023-07-24</x:v>
      </x:c>
      <x:c r="D538" t="str">
        <x:v>2023-07-25</x:v>
      </x:c>
      <x:c r="E538" t="str">
        <x:v>2023-07-26</x:v>
      </x:c>
      <x:c r="F538" t="str">
        <x:v>U400-DEETHANIZER-500</x:v>
      </x:c>
      <x:c r="G538" t="str">
        <x:v>LT-502</x:v>
      </x:c>
      <x:c r="H538" t="str">
        <x:v>column bottom level tx</x:v>
      </x:c>
      <x:c r="I538" t="str">
        <x:v>instrument</x:v>
      </x:c>
      <x:c r="J538" t="str">
        <x:v>P4</x:v>
      </x:c>
      <x:c r="K538" t="str">
        <x:v>COMP</x:v>
      </x:c>
      <x:c r="L538" t="str">
        <x:v>ANLYZR</x:v>
      </x:c>
      <x:c r="M538" t="str">
        <x:v>reflux_pump_degradation</x:v>
      </x:c>
      <x:c r="N538" t="str">
        <x:v>range err</x:v>
      </x:c>
      <x:c r="O538" t="str">
        <x:v>SPAN</x:v>
      </x:c>
      <x:c r="P538" t="str">
        <x:v>CAL</x:v>
      </x:c>
      <x:c r="Q538" t="str">
        <x:v>N</x:v>
      </x:c>
      <x:c r="R538" t="str">
        <x:v>4.5</x:v>
      </x:c>
      <x:c r="S538" t="str">
        <x:v>3125.32</x:v>
      </x:c>
      <x:c r="T538" t="str">
        <x:v>LT-502 range err again, prod upset</x:v>
      </x:c>
      <x:c r="U538" t="str">
        <x:v>night called for LT-502 column bottom level tx, disch press low seen during reflux pump degradation. Foud range err; span shifted. cleaned and put back online. unit stable now. notif made by ops, maint attended same shift.</x:v>
      </x:c>
    </x:row>
    <x:row r="539" ht="15" hidden="0" customHeight="1">
      <x:c r="A539" t="str">
        <x:v>10450538</x:v>
      </x:c>
      <x:c r="B539" t="str">
        <x:v>40870538</x:v>
      </x:c>
      <x:c r="C539" t="str">
        <x:v>2023-07-25</x:v>
      </x:c>
      <x:c r="D539" t="str">
        <x:v>2023-07-26</x:v>
      </x:c>
      <x:c r="E539" t="str">
        <x:v>2023-07-26</x:v>
      </x:c>
      <x:c r="F539" t="str">
        <x:v>U400-DEETHANIZER-500</x:v>
      </x:c>
      <x:c r="G539" t="str">
        <x:v>P-501A</x:v>
      </x:c>
      <x:c r="H539" t="str">
        <x:v>reflux pump A</x:v>
      </x:c>
      <x:c r="I539" t="str">
        <x:v>pump</x:v>
      </x:c>
      <x:c r="J539" t="str">
        <x:v>P3</x:v>
      </x:c>
      <x:c r="K539" t="str">
        <x:v>TECO</x:v>
      </x:c>
      <x:c r="L539" t="str">
        <x:v>INST</x:v>
      </x:c>
      <x:c r="M539" t="str">
        <x:v>reflux_pump_degradation</x:v>
      </x:c>
      <x:c r="N539" t="str">
        <x:v>seal leak</x:v>
      </x:c>
      <x:c r="O539" t="str">
        <x:v>MECH_SEAL</x:v>
      </x:c>
      <x:c r="P539" t="str">
        <x:v>SEAL</x:v>
      </x:c>
      <x:c r="Q539" t="str">
        <x:v>N</x:v>
      </x:c>
      <x:c r="R539" t="str">
        <x:v>10.9</x:v>
      </x:c>
      <x:c r="S539" t="str">
        <x:v>14355.01</x:v>
      </x:c>
      <x:c r="T539" t="str">
        <x:v>P-501A min flow hot, seal leak</x:v>
      </x:c>
      <x:c r="U539" t="str">
        <x:v>night called for P-501A reflux pump A, min flow hot seen during reflux pump degradation. Foud seal leak; seal face worn / dry run signs. reset trip and monitored for 2 hrs. unit stable now. notif made by ops, maint attended same shift.</x:v>
      </x:c>
    </x:row>
    <x:row r="540" ht="15" hidden="0" customHeight="1">
      <x:c r="A540" t="str">
        <x:v>10450539</x:v>
      </x:c>
      <x:c r="B540" t="str">
        <x:v>40870539</x:v>
      </x:c>
      <x:c r="C540" t="str">
        <x:v>2023-07-28</x:v>
      </x:c>
      <x:c r="D540" t="str">
        <x:v>2023-07-28</x:v>
      </x:c>
      <x:c r="E540" t="str">
        <x:v>2023-07-29</x:v>
      </x:c>
      <x:c r="F540" t="str">
        <x:v>U400-DEETHANIZER-500</x:v>
      </x:c>
      <x:c r="G540" t="str">
        <x:v>PSV-501A</x:v>
      </x:c>
      <x:c r="H540" t="str">
        <x:v>column relief valve A</x:v>
      </x:c>
      <x:c r="I540" t="str">
        <x:v>relief</x:v>
      </x:c>
      <x:c r="J540" t="str">
        <x:v>P4</x:v>
      </x:c>
      <x:c r="K540" t="str">
        <x:v>CLSD</x:v>
      </x:c>
      <x:c r="L540" t="str">
        <x:v>OPS+MECH</x:v>
      </x:c>
      <x:c r="M540" t="str">
        <x:v>normal_wear</x:v>
      </x:c>
      <x:c r="N540" t="str">
        <x:v>car seal broken</x:v>
      </x:c>
      <x:c r="O540" t="str">
        <x:v>CSO</x:v>
      </x:c>
      <x:c r="P540" t="str">
        <x:v>HUMAN</x:v>
      </x:c>
      <x:c r="Q540" t="str">
        <x:v>N</x:v>
      </x:c>
      <x:c r="R540" t="str">
        <x:v>9.8</x:v>
      </x:c>
      <x:c r="S540" t="str">
        <x:v>3771.19</x:v>
      </x:c>
      <x:c r="T540" t="str">
        <x:v>PSV-501A bad reading, car seal broken</x:v>
      </x:c>
      <x:c r="U540" t="str">
        <x:v>B shift called for PSV-501A column relief valve A, plugged impulse seen during normal wear. Foud car seal broken; seal missing foud. calibrated, loop checked with CCR. need watch next feed swing. notif made by ops, maint attended same shift.</x:v>
      </x:c>
    </x:row>
    <x:row r="541" ht="15" hidden="0" customHeight="1">
      <x:c r="A541" t="str">
        <x:v>10450540</x:v>
      </x:c>
      <x:c r="B541" t="str">
        <x:v>40870540</x:v>
      </x:c>
      <x:c r="C541" t="str">
        <x:v>2023-07-29</x:v>
      </x:c>
      <x:c r="D541" t="str">
        <x:v>2023-07-29</x:v>
      </x:c>
      <x:c r="E541" t="str">
        <x:v>2023-08-01</x:v>
      </x:c>
      <x:c r="F541" t="str">
        <x:v>U400-DEETHANIZER-500</x:v>
      </x:c>
      <x:c r="G541" t="str">
        <x:v>PT-501</x:v>
      </x:c>
      <x:c r="H541" t="str">
        <x:v>column overhead pressure tx</x:v>
      </x:c>
      <x:c r="I541" t="str">
        <x:v>instrument</x:v>
      </x:c>
      <x:c r="J541" t="str">
        <x:v>P3</x:v>
      </x:c>
      <x:c r="K541" t="str">
        <x:v>TECO</x:v>
      </x:c>
      <x:c r="L541" t="str">
        <x:v>INST</x:v>
      </x:c>
      <x:c r="M541" t="str">
        <x:v>pressure_control_fault</x:v>
      </x:c>
      <x:c r="N541" t="str">
        <x:v>impulse plugged</x:v>
      </x:c>
      <x:c r="O541" t="str">
        <x:v>PLUG</x:v>
      </x:c>
      <x:c r="P541" t="str">
        <x:v>PROCESS</x:v>
      </x:c>
      <x:c r="Q541" t="str">
        <x:v>N</x:v>
      </x:c>
      <x:c r="R541" t="str">
        <x:v>10.0</x:v>
      </x:c>
      <x:c r="S541" t="str">
        <x:v>2526.49</x:v>
      </x:c>
      <x:c r="T541" t="str">
        <x:v>PT-501 flare valve chekd, impulse plugged</x:v>
      </x:c>
      <x:c r="U541" t="str">
        <x:v>B shift called for PT-501 column overhead pressure tx, press spike seen during pressure control fault. Foud impulse plugged; tap/line dirty. reset trip and monitored for 2 hrs. ops says ok for now. notif made by ops, maint attended same shift.</x:v>
      </x:c>
    </x:row>
    <x:row r="542" ht="15" hidden="0" customHeight="1">
      <x:c r="A542" t="str">
        <x:v>10450541</x:v>
      </x:c>
      <x:c r="B542" t="str">
        <x:v>40870541</x:v>
      </x:c>
      <x:c r="C542" t="str">
        <x:v>2023-08-02</x:v>
      </x:c>
      <x:c r="D542" t="str">
        <x:v>2023-08-02</x:v>
      </x:c>
      <x:c r="E542" t="str">
        <x:v>2023-08-03</x:v>
      </x:c>
      <x:c r="F542" t="str">
        <x:v>U400-DEETHANIZER-500</x:v>
      </x:c>
      <x:c r="G542" t="str">
        <x:v>T-501</x:v>
      </x:c>
      <x:c r="H542" t="str">
        <x:v>deethanizer column</x:v>
      </x:c>
      <x:c r="I542" t="str">
        <x:v>column</x:v>
      </x:c>
      <x:c r="J542" t="str">
        <x:v>P3</x:v>
      </x:c>
      <x:c r="K542" t="str">
        <x:v>CLSD</x:v>
      </x:c>
      <x:c r="L542" t="str">
        <x:v>ROT</x:v>
      </x:c>
      <x:c r="M542" t="str">
        <x:v>feed_composition_shift</x:v>
      </x:c>
      <x:c r="N542" t="str">
        <x:v>weeping flange</x:v>
      </x:c>
      <x:c r="O542" t="str">
        <x:v>LEAK</x:v>
      </x:c>
      <x:c r="P542" t="str">
        <x:v>GASKET</x:v>
      </x:c>
      <x:c r="Q542" t="str">
        <x:v>N</x:v>
      </x:c>
      <x:c r="R542" t="str">
        <x:v>5.2</x:v>
      </x:c>
      <x:c r="S542" t="str">
        <x:v>986.9</x:v>
      </x:c>
      <x:c r="T542" t="str">
        <x:v>T-501 not ok after feed composition shift</x:v>
      </x:c>
      <x:c r="U542" t="str">
        <x:v>night called for T-501 deethanizer column, anlyzr off seen during feed composition shift. Foud weeping flange; manway/flange seep. Could not get permit first time waiting area gas test. calibrated, loop checked with CCR. no leak at handover. notif made by ops, maint attended same shift.</x:v>
      </x:c>
    </x:row>
    <x:row r="543" ht="15" hidden="0" customHeight="1">
      <x:c r="A543" t="str">
        <x:v>10450542</x:v>
      </x:c>
      <x:c r="B543" t="str">
        <x:v>40870542</x:v>
      </x:c>
      <x:c r="C543" t="str">
        <x:v>2023-08-01</x:v>
      </x:c>
      <x:c r="D543" t="str">
        <x:v>2023-08-01</x:v>
      </x:c>
      <x:c r="E543" t="str">
        <x:v>2023-08-01</x:v>
      </x:c>
      <x:c r="F543" t="str">
        <x:v>U400-DEETHANIZER-500</x:v>
      </x:c>
      <x:c r="G543" t="str">
        <x:v>FV-502</x:v>
      </x:c>
      <x:c r="H543" t="str">
        <x:v>reflux flow control valve</x:v>
      </x:c>
      <x:c r="I543" t="str">
        <x:v>control_valve</x:v>
      </x:c>
      <x:c r="J543" t="str">
        <x:v>P3</x:v>
      </x:c>
      <x:c r="K543" t="str">
        <x:v>CLSD</x:v>
      </x:c>
      <x:c r="L543" t="str">
        <x:v>VALVE</x:v>
      </x:c>
      <x:c r="M543" t="str">
        <x:v>reboiler_duty_loss</x:v>
      </x:c>
      <x:c r="N543" t="str">
        <x:v>air leak</x:v>
      </x:c>
      <x:c r="O543" t="str">
        <x:v>AIR_LEAK</x:v>
      </x:c>
      <x:c r="P543" t="str">
        <x:v>TUBING</x:v>
      </x:c>
      <x:c r="Q543" t="str">
        <x:v>N</x:v>
      </x:c>
      <x:c r="R543" t="str">
        <x:v>8.0</x:v>
      </x:c>
      <x:c r="S543" t="str">
        <x:v>2640.69</x:v>
      </x:c>
      <x:c r="T543" t="str">
        <x:v>chk FV-502 - air leak frm ops</x:v>
      </x:c>
      <x:c r="U543" t="str">
        <x:v>B shift called for FV-502 reflux flow ctrl valve, tray temp low seen during reboiler duty loss. Foud air leak; positioner supply drop. flushed impulse/sample line. no leak at handover. notif made by ops, maint attended same shift.</x:v>
      </x:c>
    </x:row>
    <x:row r="544" ht="15" hidden="0" customHeight="1">
      <x:c r="A544" t="str">
        <x:v>10450543</x:v>
      </x:c>
      <x:c r="B544" t="str">
        <x:v>40870543</x:v>
      </x:c>
      <x:c r="C544" t="str">
        <x:v>2023-08-01</x:v>
      </x:c>
      <x:c r="D544" t="str">
        <x:v>2023-08-02</x:v>
      </x:c>
      <x:c r="E544" t="str">
        <x:v>2023-08-02</x:v>
      </x:c>
      <x:c r="F544" t="str">
        <x:v>U400-DEETHANIZER-500</x:v>
      </x:c>
      <x:c r="G544" t="str">
        <x:v>E-502</x:v>
      </x:c>
      <x:c r="H544" t="str">
        <x:v>deethanizer overhead condenser</x:v>
      </x:c>
      <x:c r="I544" t="str">
        <x:v>condenser</x:v>
      </x:c>
      <x:c r="J544" t="str">
        <x:v>P3</x:v>
      </x:c>
      <x:c r="K544" t="str">
        <x:v>CLSD</x:v>
      </x:c>
      <x:c r="L544" t="str">
        <x:v>MECH</x:v>
      </x:c>
      <x:c r="M544" t="str">
        <x:v>condenser_fouling</x:v>
      </x:c>
      <x:c r="N544" t="str">
        <x:v>tv no travel</x:v>
      </x:c>
      <x:c r="O544" t="str">
        <x:v>VALVE</x:v>
      </x:c>
      <x:c r="P544" t="str">
        <x:v>STICK</x:v>
      </x:c>
      <x:c r="Q544" t="str">
        <x:v>N</x:v>
      </x:c>
      <x:c r="R544" t="str">
        <x:v>8.4</x:v>
      </x:c>
      <x:c r="S544" t="str">
        <x:v>1569.06</x:v>
      </x:c>
      <x:c r="T544" t="str">
        <x:v>chk E-502 - tv no travel frm ops</x:v>
      </x:c>
      <x:c r="U544" t="str">
        <x:v>A shift called for E-502 deethanizer overhead condenser, pic wide open seen during condenser fouling. Foud tv no travel; cooling valve stuck. tightened fittings, leak test ok. need watch next feed swing. notif made by ops, maint attended same shift.</x:v>
      </x:c>
    </x:row>
    <x:row r="545" ht="15" hidden="0" customHeight="1">
      <x:c r="A545" t="str">
        <x:v>10450544</x:v>
      </x:c>
      <x:c r="B545" t="str">
        <x:v>40870544</x:v>
      </x:c>
      <x:c r="C545" t="str">
        <x:v>2023-08-02</x:v>
      </x:c>
      <x:c r="D545" t="str">
        <x:v>2023-08-03</x:v>
      </x:c>
      <x:c r="E545" t="str">
        <x:v>2023-08-06</x:v>
      </x:c>
      <x:c r="F545" t="str">
        <x:v>U400-DEETHANIZER-500</x:v>
      </x:c>
      <x:c r="G545" t="str">
        <x:v>P-501B</x:v>
      </x:c>
      <x:c r="H545" t="str">
        <x:v>reflux pump B</x:v>
      </x:c>
      <x:c r="I545" t="str">
        <x:v>pump</x:v>
      </x:c>
      <x:c r="J545" t="str">
        <x:v>P3</x:v>
      </x:c>
      <x:c r="K545" t="str">
        <x:v>TECO</x:v>
      </x:c>
      <x:c r="L545" t="str">
        <x:v>ROT</x:v>
      </x:c>
      <x:c r="M545" t="str">
        <x:v>reflux_pump_degradation</x:v>
      </x:c>
      <x:c r="N545" t="str">
        <x:v>vib high</x:v>
      </x:c>
      <x:c r="O545" t="str">
        <x:v>VIB</x:v>
      </x:c>
      <x:c r="P545" t="str">
        <x:v>ALIGN</x:v>
      </x:c>
      <x:c r="Q545" t="str">
        <x:v>N</x:v>
      </x:c>
      <x:c r="R545" t="str">
        <x:v>7.2</x:v>
      </x:c>
      <x:c r="S545" t="str">
        <x:v>13247.14</x:v>
      </x:c>
      <x:c r="T545" t="str">
        <x:v>P-501B not ok after reflux pump degradation</x:v>
      </x:c>
      <x:c r="U545" t="str">
        <x:v>days called for P-501B reflux pump B, seal weep seen during reflux pump degradation. Foud vib high; coupling align or cavitation. changed gasket and boxed up. temp repair only, plan shutdown job. notif made by ops, maint attended same shift.</x:v>
      </x:c>
    </x:row>
    <x:row r="546" ht="15" hidden="0" customHeight="1">
      <x:c r="A546" t="str">
        <x:v>10450545</x:v>
      </x:c>
      <x:c r="B546" t="str">
        <x:v>40870545</x:v>
      </x:c>
      <x:c r="C546" t="str">
        <x:v>2023-08-07</x:v>
      </x:c>
      <x:c r="D546" t="str">
        <x:v>2023-08-07</x:v>
      </x:c>
      <x:c r="E546" t="str">
        <x:v>2023-08-07</x:v>
      </x:c>
      <x:c r="F546" t="str">
        <x:v>U400-DEETHANIZER-500</x:v>
      </x:c>
      <x:c r="G546" t="str">
        <x:v>FV-502</x:v>
      </x:c>
      <x:c r="H546" t="str">
        <x:v>reflux flow control valve</x:v>
      </x:c>
      <x:c r="I546" t="str">
        <x:v>control_valve</x:v>
      </x:c>
      <x:c r="J546" t="str">
        <x:v>P2</x:v>
      </x:c>
      <x:c r="K546" t="str">
        <x:v>TECO</x:v>
      </x:c>
      <x:c r="L546" t="str">
        <x:v>ANLYZR</x:v>
      </x:c>
      <x:c r="M546" t="str">
        <x:v>valve_stiction</x:v>
      </x:c>
      <x:c r="N546" t="str">
        <x:v>stiction</x:v>
      </x:c>
      <x:c r="O546" t="str">
        <x:v>STICK</x:v>
      </x:c>
      <x:c r="P546" t="str">
        <x:v>PACKING</x:v>
      </x:c>
      <x:c r="Q546" t="str">
        <x:v>N</x:v>
      </x:c>
      <x:c r="R546" t="str">
        <x:v>12.4</x:v>
      </x:c>
      <x:c r="S546" t="str">
        <x:v>2522.29</x:v>
      </x:c>
      <x:c r="T546" t="str">
        <x:v>FV-502 air leak, stiction</x:v>
      </x:c>
      <x:c r="U546" t="str">
        <x:v>days called for FV-502 reflux flow control valve, op jumps seen during valve stiction. Foud stiction; stem sticky and pos err. stroke tested, response better. temp repair only, plan shutdown job. notif made by ops, maint attended same shift.</x:v>
      </x:c>
    </x:row>
    <x:row r="547" ht="15" hidden="0" customHeight="1">
      <x:c r="A547" t="str">
        <x:v>10450546</x:v>
      </x:c>
      <x:c r="B547" t="str">
        <x:v>40870546</x:v>
      </x:c>
      <x:c r="C547" t="str">
        <x:v>2023-08-07</x:v>
      </x:c>
      <x:c r="D547" t="str">
        <x:v>2023-08-07</x:v>
      </x:c>
      <x:c r="E547" t="str">
        <x:v>2023-08-08</x:v>
      </x:c>
      <x:c r="F547" t="str">
        <x:v>U400-DEETHANIZER-500</x:v>
      </x:c>
      <x:c r="G547" t="str">
        <x:v>FV-502</x:v>
      </x:c>
      <x:c r="H547" t="str">
        <x:v>reflux flow control valve</x:v>
      </x:c>
      <x:c r="I547" t="str">
        <x:v>control_valve</x:v>
      </x:c>
      <x:c r="J547" t="str">
        <x:v>P1</x:v>
      </x:c>
      <x:c r="K547" t="str">
        <x:v>CLSD</x:v>
      </x:c>
      <x:c r="L547" t="str">
        <x:v>OPS+INST</x:v>
      </x:c>
      <x:c r="M547" t="str">
        <x:v>feed_temperature_ramp</x:v>
      </x:c>
      <x:c r="N547" t="str">
        <x:v>hunting loop</x:v>
      </x:c>
      <x:c r="O547" t="str">
        <x:v>CTRL_OSC</x:v>
      </x:c>
      <x:c r="P547" t="str">
        <x:v>TUNE</x:v>
      </x:c>
      <x:c r="Q547" t="str">
        <x:v>N</x:v>
      </x:c>
      <x:c r="R547" t="str">
        <x:v>1.6</x:v>
      </x:c>
      <x:c r="S547" t="str">
        <x:v>1467.76</x:v>
      </x:c>
      <x:c r="T547" t="str">
        <x:v>FV-502 not ok after feed temperature ramp</x:v>
      </x:c>
      <x:c r="U547" t="str">
        <x:v>days called for FV-502 reflux flow ctrl valve, tray temp drift seen during feed temperature ramp. Foud hunting loop; bad response after upset. Tag plate dirty, confirmd by line up with panel. stroke tested, response better. readng close to dcs after job. notif made by ops, maint attended same shift.</x:v>
      </x:c>
    </x:row>
    <x:row r="548" ht="15" hidden="0" customHeight="1">
      <x:c r="A548" t="str">
        <x:v>10450547</x:v>
      </x:c>
      <x:c r="B548" t="str">
        <x:v>40870547</x:v>
      </x:c>
      <x:c r="C548" t="str">
        <x:v>2023-08-07</x:v>
      </x:c>
      <x:c r="D548" t="str">
        <x:v>2023-08-09</x:v>
      </x:c>
      <x:c r="E548" t="str">
        <x:v>2023-08-12</x:v>
      </x:c>
      <x:c r="F548" t="str">
        <x:v>U400-DEETHANIZER-500</x:v>
      </x:c>
      <x:c r="G548" t="str">
        <x:v>DPT-501</x:v>
      </x:c>
      <x:c r="H548" t="str">
        <x:v>column diff pressure tx</x:v>
      </x:c>
      <x:c r="I548" t="str">
        <x:v>instrument</x:v>
      </x:c>
      <x:c r="J548" t="str">
        <x:v>P1</x:v>
      </x:c>
      <x:c r="K548" t="str">
        <x:v>COMP</x:v>
      </x:c>
      <x:c r="L548" t="str">
        <x:v>E&amp;I</x:v>
      </x:c>
      <x:c r="M548" t="str">
        <x:v>feed_temperature_ramp</x:v>
      </x:c>
      <x:c r="N548" t="str">
        <x:v>range err</x:v>
      </x:c>
      <x:c r="O548" t="str">
        <x:v>SPAN</x:v>
      </x:c>
      <x:c r="P548" t="str">
        <x:v>CAL</x:v>
      </x:c>
      <x:c r="Q548" t="str">
        <x:v>Y</x:v>
      </x:c>
      <x:c r="R548" t="str">
        <x:v>21.5</x:v>
      </x:c>
      <x:c r="S548" t="str">
        <x:v>5492.82</x:v>
      </x:c>
      <x:c r="T548" t="str">
        <x:v>chk DPT-501 - range err frm ops</x:v>
      </x:c>
      <x:c r="U548" t="str">
        <x:v>night called for DPT-501 column diff pressure tx, rb duty up seen during feed temperature ramp. Foud range err; span shifted. cleaned and put back online. unit stable now. notif made by ops, maint attended same shift.</x:v>
      </x:c>
    </x:row>
    <x:row r="549" ht="15" hidden="0" customHeight="1">
      <x:c r="A549" t="str">
        <x:v>10450548</x:v>
      </x:c>
      <x:c r="B549" t="str">
        <x:v>40870548</x:v>
      </x:c>
      <x:c r="C549" t="str">
        <x:v>2023-08-11</x:v>
      </x:c>
      <x:c r="D549" t="str">
        <x:v>2023-08-12</x:v>
      </x:c>
      <x:c r="E549" t="str">
        <x:v>2023-08-13</x:v>
      </x:c>
      <x:c r="F549" t="str">
        <x:v>U400-DEETHANIZER-500</x:v>
      </x:c>
      <x:c r="G549" t="str">
        <x:v>E-503</x:v>
      </x:c>
      <x:c r="H549" t="str">
        <x:v>feed bottoms exchanger</x:v>
      </x:c>
      <x:c r="I549" t="str">
        <x:v>exchanger</x:v>
      </x:c>
      <x:c r="J549" t="str">
        <x:v>P2</x:v>
      </x:c>
      <x:c r="K549" t="str">
        <x:v>COMP</x:v>
      </x:c>
      <x:c r="L549" t="str">
        <x:v>OPS+MECH</x:v>
      </x:c>
      <x:c r="M549" t="str">
        <x:v>feed_flow_step</x:v>
      </x:c>
      <x:c r="N549" t="str">
        <x:v>gasket weep</x:v>
      </x:c>
      <x:c r="O549" t="str">
        <x:v>LEAK</x:v>
      </x:c>
      <x:c r="P549" t="str">
        <x:v>GASKET</x:v>
      </x:c>
      <x:c r="Q549" t="str">
        <x:v>Y</x:v>
      </x:c>
      <x:c r="R549" t="str">
        <x:v>7.7</x:v>
      </x:c>
      <x:c r="S549" t="str">
        <x:v>248.95</x:v>
      </x:c>
      <x:c r="T549" t="str">
        <x:v>chk E-503 - gasket weep frm ops</x:v>
      </x:c>
      <x:c r="U549" t="str">
        <x:v>A shift called for E-503 feed bottoms exchanger, fic hunting seen during feed flow step. Foud gasket weep; flange sweating. History shows same complain last mnth. flushed impulse/sample line. unit stable now. notif made by ops, maint attended same shift.</x:v>
      </x:c>
    </x:row>
    <x:row r="550" ht="15" hidden="0" customHeight="1">
      <x:c r="A550" t="str">
        <x:v>10450549</x:v>
      </x:c>
      <x:c r="B550" t="str">
        <x:v>40870549</x:v>
      </x:c>
      <x:c r="C550" t="str">
        <x:v>2023-08-10</x:v>
      </x:c>
      <x:c r="D550" t="str">
        <x:v>2023-08-12</x:v>
      </x:c>
      <x:c r="E550" t="str">
        <x:v>2023-08-13</x:v>
      </x:c>
      <x:c r="F550" t="str">
        <x:v>U400-DEETHANIZER-500</x:v>
      </x:c>
      <x:c r="G550" t="str">
        <x:v>TT-503</x:v>
      </x:c>
      <x:c r="H550" t="str">
        <x:v>reboiler outlet temperature tx</x:v>
      </x:c>
      <x:c r="I550" t="str">
        <x:v>instrument</x:v>
      </x:c>
      <x:c r="J550" t="str">
        <x:v>P3</x:v>
      </x:c>
      <x:c r="K550" t="str">
        <x:v>CLSD</x:v>
      </x:c>
      <x:c r="L550" t="str">
        <x:v>E&amp;I</x:v>
      </x:c>
      <x:c r="M550" t="str">
        <x:v>normal_wear</x:v>
      </x:c>
      <x:c r="N550" t="str">
        <x:v>range err</x:v>
      </x:c>
      <x:c r="O550" t="str">
        <x:v>SPAN</x:v>
      </x:c>
      <x:c r="P550" t="str">
        <x:v>CAL</x:v>
      </x:c>
      <x:c r="Q550" t="str">
        <x:v>N</x:v>
      </x:c>
      <x:c r="R550" t="str">
        <x:v>10.7</x:v>
      </x:c>
      <x:c r="S550" t="str">
        <x:v>3608.14</x:v>
      </x:c>
      <x:c r="T550" t="str">
        <x:v>TT-503 range err again, prod upset</x:v>
      </x:c>
      <x:c r="U550" t="str">
        <x:v>A shift called for TT-503 reboiler outlet temp tx, pm found defect seen during normal wear. Foud range err; span shifted. Line was hot so job done slow and with ops standing by. flushed impulse/sample line. no leak at handover. notif made by ops, maint attended same shift.</x:v>
      </x:c>
    </x:row>
    <x:row r="551" ht="15" hidden="0" customHeight="1">
      <x:c r="A551" t="str">
        <x:v>10450550</x:v>
      </x:c>
      <x:c r="B551" t="str">
        <x:v>40870550</x:v>
      </x:c>
      <x:c r="C551" t="str">
        <x:v>2023-08-15</x:v>
      </x:c>
      <x:c r="D551" t="str">
        <x:v>2023-08-16</x:v>
      </x:c>
      <x:c r="E551" t="str">
        <x:v>2023-08-19</x:v>
      </x:c>
      <x:c r="F551" t="str">
        <x:v>U400-DEETHANIZER-500</x:v>
      </x:c>
      <x:c r="G551" t="str">
        <x:v>E-502</x:v>
      </x:c>
      <x:c r="H551" t="str">
        <x:v>deethanizer overhead condenser</x:v>
      </x:c>
      <x:c r="I551" t="str">
        <x:v>condenser</x:v>
      </x:c>
      <x:c r="J551" t="str">
        <x:v>P3</x:v>
      </x:c>
      <x:c r="K551" t="str">
        <x:v>COMP</x:v>
      </x:c>
      <x:c r="L551" t="str">
        <x:v>MECH</x:v>
      </x:c>
      <x:c r="M551" t="str">
        <x:v>valve_stiction</x:v>
      </x:c>
      <x:c r="N551" t="str">
        <x:v>cw fouling</x:v>
      </x:c>
      <x:c r="O551" t="str">
        <x:v>FOULING</x:v>
      </x:c>
      <x:c r="P551" t="str">
        <x:v>UTILITY</x:v>
      </x:c>
      <x:c r="Q551" t="str">
        <x:v>N</x:v>
      </x:c>
      <x:c r="R551" t="str">
        <x:v>4.6</x:v>
      </x:c>
      <x:c r="S551" t="str">
        <x:v>2316.27</x:v>
      </x:c>
      <x:c r="T551" t="str">
        <x:v>E-502 cw fouling asap</x:v>
      </x:c>
      <x:c r="U551" t="str">
        <x:v>night called for E-502 deethanizer overhead condenser, op jumps seen during vavle stiction. Foud cw fouling; cw side scaled. History shows same complain last mnth. calibrated, loop checked with CCR. temp repair only, plan shutdown job. notif made by ops, maint attended same shift.</x:v>
      </x:c>
    </x:row>
    <x:row r="552" ht="15" hidden="0" customHeight="1">
      <x:c r="A552" t="str">
        <x:v>10450551</x:v>
      </x:c>
      <x:c r="B552" t="str">
        <x:v>40870551</x:v>
      </x:c>
      <x:c r="C552" t="str">
        <x:v>2023-08-16</x:v>
      </x:c>
      <x:c r="D552" t="str">
        <x:v>2023-08-17</x:v>
      </x:c>
      <x:c r="E552" t="str">
        <x:v>2023-08-18</x:v>
      </x:c>
      <x:c r="F552" t="str">
        <x:v>U400-DEETHANIZER-500</x:v>
      </x:c>
      <x:c r="G552" t="str">
        <x:v>V-501</x:v>
      </x:c>
      <x:c r="H552" t="str">
        <x:v>deethanizer reflux drum</x:v>
      </x:c>
      <x:c r="I552" t="str">
        <x:v>vessel</x:v>
      </x:c>
      <x:c r="J552" t="str">
        <x:v>P3</x:v>
      </x:c>
      <x:c r="K552" t="str">
        <x:v>CLSD</x:v>
      </x:c>
      <x:c r="L552" t="str">
        <x:v>OPS+MECH</x:v>
      </x:c>
      <x:c r="M552" t="str">
        <x:v>feed_composition_shift</x:v>
      </x:c>
      <x:c r="N552" t="str">
        <x:v>level swing</x:v>
      </x:c>
      <x:c r="O552" t="str">
        <x:v>LVL_SWING</x:v>
      </x:c>
      <x:c r="P552" t="str">
        <x:v>CTRL</x:v>
      </x:c>
      <x:c r="Q552" t="str">
        <x:v>N</x:v>
      </x:c>
      <x:c r="R552" t="str">
        <x:v>12.3</x:v>
      </x:c>
      <x:c r="S552" t="str">
        <x:v>977.71</x:v>
      </x:c>
      <x:c r="T552" t="str">
        <x:v>chk V-501 - level swing frm ops</x:v>
      </x:c>
      <x:c r="U552" t="str">
        <x:v>A shift called for V-501 deethanizer reflux drum, anlyzr off seen during feed composition shift. Foud level swing; lt/lic problem. History shows same complain last mnth. stroke tested, response better. readng close to dcs after job. notif made by ops, maint attended same shift.</x:v>
      </x:c>
    </x:row>
    <x:row r="553" ht="15" hidden="0" customHeight="1">
      <x:c r="A553" t="str">
        <x:v>10450552</x:v>
      </x:c>
      <x:c r="B553" t="str">
        <x:v>40870552</x:v>
      </x:c>
      <x:c r="C553" t="str">
        <x:v>2023-08-15</x:v>
      </x:c>
      <x:c r="D553" t="str">
        <x:v>2023-08-15</x:v>
      </x:c>
      <x:c r="E553" t="str">
        <x:v>2023-08-16</x:v>
      </x:c>
      <x:c r="F553" t="str">
        <x:v>U400-DEETHANIZER-500</x:v>
      </x:c>
      <x:c r="G553" t="str">
        <x:v>FV-502</x:v>
      </x:c>
      <x:c r="H553" t="str">
        <x:v>reflux flow control valve</x:v>
      </x:c>
      <x:c r="I553" t="str">
        <x:v>control_valve</x:v>
      </x:c>
      <x:c r="J553" t="str">
        <x:v>P3</x:v>
      </x:c>
      <x:c r="K553" t="str">
        <x:v>TECO</x:v>
      </x:c>
      <x:c r="L553" t="str">
        <x:v>VALVE</x:v>
      </x:c>
      <x:c r="M553" t="str">
        <x:v>reflux_pump_degradation</x:v>
      </x:c>
      <x:c r="N553" t="str">
        <x:v>stiction</x:v>
      </x:c>
      <x:c r="O553" t="str">
        <x:v>STICK</x:v>
      </x:c>
      <x:c r="P553" t="str">
        <x:v>PACKING</x:v>
      </x:c>
      <x:c r="Q553" t="str">
        <x:v>N</x:v>
      </x:c>
      <x:c r="R553" t="str">
        <x:v>12.5</x:v>
      </x:c>
      <x:c r="S553" t="str">
        <x:v>2792.38</x:v>
      </x:c>
      <x:c r="T553" t="str">
        <x:v>FV-502 stiction again, prod upset</x:v>
      </x:c>
      <x:c r="U553" t="str">
        <x:v>days called for FV-502 reflux flow control valve, min flow hot seen during reflux pump degradation. Foud stiction; stem sticky and pos err. Tag plate dirty, confirmd by line up with panel. calibrated, loop chekd with CCR. readng close to dcs after job. notif made by ops, maint attended same shift.</x:v>
      </x:c>
    </x:row>
    <x:row r="554" ht="15" hidden="0" customHeight="1">
      <x:c r="A554" t="str">
        <x:v>10450553</x:v>
      </x:c>
      <x:c r="B554" t="str">
        <x:v>40870553</x:v>
      </x:c>
      <x:c r="C554" t="str">
        <x:v>2023-08-15</x:v>
      </x:c>
      <x:c r="D554" t="str">
        <x:v>2023-08-16</x:v>
      </x:c>
      <x:c r="E554" t="str">
        <x:v>2023-08-17</x:v>
      </x:c>
      <x:c r="F554" t="str">
        <x:v>U400-DEETHANIZER-500</x:v>
      </x:c>
      <x:c r="G554" t="str">
        <x:v>PT-501</x:v>
      </x:c>
      <x:c r="H554" t="str">
        <x:v>column overhead pressure tx</x:v>
      </x:c>
      <x:c r="I554" t="str">
        <x:v>instrument</x:v>
      </x:c>
      <x:c r="J554" t="str">
        <x:v>P3</x:v>
      </x:c>
      <x:c r="K554" t="str">
        <x:v>CLSD</x:v>
      </x:c>
      <x:c r="L554" t="str">
        <x:v>INST</x:v>
      </x:c>
      <x:c r="M554" t="str">
        <x:v>valve_stiction</x:v>
      </x:c>
      <x:c r="N554" t="str">
        <x:v>loose wire</x:v>
      </x:c>
      <x:c r="O554" t="str">
        <x:v>SIGNAL</x:v>
      </x:c>
      <x:c r="P554" t="str">
        <x:v>ELEC</x:v>
      </x:c>
      <x:c r="Q554" t="str">
        <x:v>N</x:v>
      </x:c>
      <x:c r="R554" t="str">
        <x:v>11.4</x:v>
      </x:c>
      <x:c r="S554" t="str">
        <x:v>947.59</x:v>
      </x:c>
      <x:c r="T554" t="str">
        <x:v>PT-501 valve sticking, loose wire</x:v>
      </x:c>
      <x:c r="U554" t="str">
        <x:v>night called for PT-501 column overhead pressure tx, air leak seen during valve stiction. Foud loose wire; term loose. replaced positioner tubing and retuned small. still little hunting but acceptable. notif made by ops, maint attended same shift.</x:v>
      </x:c>
    </x:row>
    <x:row r="555" ht="15" hidden="0" customHeight="1">
      <x:c r="A555" t="str">
        <x:v>10450554</x:v>
      </x:c>
      <x:c r="B555" t="str">
        <x:v>40870554</x:v>
      </x:c>
      <x:c r="C555" t="str">
        <x:v>2023-08-20</x:v>
      </x:c>
      <x:c r="D555" t="str">
        <x:v>2023-08-20</x:v>
      </x:c>
      <x:c r="E555" t="str">
        <x:v>2023-08-21</x:v>
      </x:c>
      <x:c r="F555" t="str">
        <x:v>U400-DEETHANIZER-500</x:v>
      </x:c>
      <x:c r="G555" t="str">
        <x:v>V-501</x:v>
      </x:c>
      <x:c r="H555" t="str">
        <x:v>deethanizer reflux drum</x:v>
      </x:c>
      <x:c r="I555" t="str">
        <x:v>vessel</x:v>
      </x:c>
      <x:c r="J555" t="str">
        <x:v>P3</x:v>
      </x:c>
      <x:c r="K555" t="str">
        <x:v>TECO</x:v>
      </x:c>
      <x:c r="L555" t="str">
        <x:v>E&amp;I</x:v>
      </x:c>
      <x:c r="M555" t="str">
        <x:v>valve_stiction</x:v>
      </x:c>
      <x:c r="N555" t="str">
        <x:v>level swing</x:v>
      </x:c>
      <x:c r="O555" t="str">
        <x:v>LVL_SWING</x:v>
      </x:c>
      <x:c r="P555" t="str">
        <x:v>CTRL</x:v>
      </x:c>
      <x:c r="Q555" t="str">
        <x:v>N</x:v>
      </x:c>
      <x:c r="R555" t="str">
        <x:v>4.0</x:v>
      </x:c>
      <x:c r="S555" t="str">
        <x:v>5589.68</x:v>
      </x:c>
      <x:c r="T555" t="str">
        <x:v>V-501 not ok after valve stiction</x:v>
      </x:c>
      <x:c r="U555" t="str">
        <x:v>B shift called for V-501 deethanizer reflux drum, valve sticking seen during valve stiction. Foud level swing; lt/lic problem. Could not get permit first time waiting area gas test. changed gasket and boxed up. ops says ok for now. notif made by ops, maint attended same shift.</x:v>
      </x:c>
    </x:row>
    <x:row r="556" ht="15" hidden="0" customHeight="1">
      <x:c r="A556" t="str">
        <x:v>10450555</x:v>
      </x:c>
      <x:c r="B556" t="str">
        <x:v>40870555</x:v>
      </x:c>
      <x:c r="C556" t="str">
        <x:v>2023-08-20</x:v>
      </x:c>
      <x:c r="D556" t="str">
        <x:v>2023-08-21</x:v>
      </x:c>
      <x:c r="E556" t="str">
        <x:v>2023-08-22</x:v>
      </x:c>
      <x:c r="F556" t="str">
        <x:v>U400-DEETHANIZER-500</x:v>
      </x:c>
      <x:c r="G556" t="str">
        <x:v>P-501B</x:v>
      </x:c>
      <x:c r="H556" t="str">
        <x:v>reflux pump B</x:v>
      </x:c>
      <x:c r="I556" t="str">
        <x:v>pump</x:v>
      </x:c>
      <x:c r="J556" t="str">
        <x:v>P3</x:v>
      </x:c>
      <x:c r="K556" t="str">
        <x:v>COMP</x:v>
      </x:c>
      <x:c r="L556" t="str">
        <x:v>OPS+MECH</x:v>
      </x:c>
      <x:c r="M556" t="str">
        <x:v>condenser_fouling</x:v>
      </x:c>
      <x:c r="N556" t="str">
        <x:v>low disch press</x:v>
      </x:c>
      <x:c r="O556" t="str">
        <x:v>HYD_LOSS</x:v>
      </x:c>
      <x:c r="P556" t="str">
        <x:v>FOUL</x:v>
      </x:c>
      <x:c r="Q556" t="str">
        <x:v>N</x:v>
      </x:c>
      <x:c r="R556" t="str">
        <x:v>3.1</x:v>
      </x:c>
      <x:c r="S556" t="str">
        <x:v>14111.68</x:v>
      </x:c>
      <x:c r="T556" t="str">
        <x:v>P-501B not ok after condnsr fouling</x:v>
      </x:c>
      <x:c r="U556" t="str">
        <x:v>A shift called for P-501B reflux pump B, drum temp hi seen during condenser fouling. Foud low disch press; strainer dirty or impeller wear. tightened fittings, leak test ok. unit stable now. notif made by ops, maint attended same shift.</x:v>
      </x:c>
    </x:row>
    <x:row r="557" ht="15" hidden="0" customHeight="1">
      <x:c r="A557" t="str">
        <x:v>10450556</x:v>
      </x:c>
      <x:c r="B557" t="str">
        <x:v>40870556</x:v>
      </x:c>
      <x:c r="C557" t="str">
        <x:v>2023-08-23</x:v>
      </x:c>
      <x:c r="D557" t="str">
        <x:v>2023-08-23</x:v>
      </x:c>
      <x:c r="E557" t="str">
        <x:v>2023-08-28</x:v>
      </x:c>
      <x:c r="F557" t="str">
        <x:v>U400-DEETHANIZER-500</x:v>
      </x:c>
      <x:c r="G557" t="str">
        <x:v>LV-502</x:v>
      </x:c>
      <x:c r="H557" t="str">
        <x:v>bottoms level valve</x:v>
      </x:c>
      <x:c r="I557" t="str">
        <x:v>control_valve</x:v>
      </x:c>
      <x:c r="J557" t="str">
        <x:v>P2</x:v>
      </x:c>
      <x:c r="K557" t="str">
        <x:v>CLSD</x:v>
      </x:c>
      <x:c r="L557" t="str">
        <x:v>MECH</x:v>
      </x:c>
      <x:c r="M557" t="str">
        <x:v>valve_stiction</x:v>
      </x:c>
      <x:c r="N557" t="str">
        <x:v>stiction</x:v>
      </x:c>
      <x:c r="O557" t="str">
        <x:v>STICK</x:v>
      </x:c>
      <x:c r="P557" t="str">
        <x:v>PACKING</x:v>
      </x:c>
      <x:c r="Q557" t="str">
        <x:v>N</x:v>
      </x:c>
      <x:c r="R557" t="str">
        <x:v>9.2</x:v>
      </x:c>
      <x:c r="S557" t="str">
        <x:v>4103.9</x:v>
      </x:c>
      <x:c r="T557" t="str">
        <x:v>LV-502 not ok after valve stiction</x:v>
      </x:c>
      <x:c r="U557" t="str">
        <x:v>B shift called for LV-502 bottoms level valve, air leak seen during valve stiction. Foud stiction; stem sticky and pos err. History shows same complain last mnth. swapped to standby and repaired. still little hunting but acceptable. notif made by ops, maint attended same shift.</x:v>
      </x:c>
    </x:row>
    <x:row r="558" ht="15" hidden="0" customHeight="1">
      <x:c r="A558" t="str">
        <x:v>10450557</x:v>
      </x:c>
      <x:c r="B558" t="str">
        <x:v>40870557</x:v>
      </x:c>
      <x:c r="C558" t="str">
        <x:v>2023-08-24</x:v>
      </x:c>
      <x:c r="D558" t="str">
        <x:v>2023-08-24</x:v>
      </x:c>
      <x:c r="E558" t="str">
        <x:v>2023-08-24</x:v>
      </x:c>
      <x:c r="F558" t="str">
        <x:v>U400-DEETHANIZER-500</x:v>
      </x:c>
      <x:c r="G558" t="str">
        <x:v>E-503</x:v>
      </x:c>
      <x:c r="H558" t="str">
        <x:v>feed bottoms exchanger</x:v>
      </x:c>
      <x:c r="I558" t="str">
        <x:v>exchanger</x:v>
      </x:c>
      <x:c r="J558" t="str">
        <x:v>P2</x:v>
      </x:c>
      <x:c r="K558" t="str">
        <x:v>COMP</x:v>
      </x:c>
      <x:c r="L558" t="str">
        <x:v>ROT</x:v>
      </x:c>
      <x:c r="M558" t="str">
        <x:v>feed_composition_shift</x:v>
      </x:c>
      <x:c r="N558" t="str">
        <x:v>gasket weep</x:v>
      </x:c>
      <x:c r="O558" t="str">
        <x:v>LEAK</x:v>
      </x:c>
      <x:c r="P558" t="str">
        <x:v>GASKET</x:v>
      </x:c>
      <x:c r="Q558" t="str">
        <x:v>Y</x:v>
      </x:c>
      <x:c r="R558" t="str">
        <x:v>23.5</x:v>
      </x:c>
      <x:c r="S558" t="str">
        <x:v>6832.54</x:v>
      </x:c>
      <x:c r="T558" t="str">
        <x:v>E-503 not ok after feed composition shift</x:v>
      </x:c>
      <x:c r="U558" t="str">
        <x:v>night called for E-503 feed bottoms exchanger, ovhd c3 slip seen during feed composition shift. Foud gasket weep; flange sweating. stroke tested, response better. need watch next feed swing. notif made by ops, maint attended same shift.</x:v>
      </x:c>
    </x:row>
    <x:row r="559" ht="15" hidden="0" customHeight="1">
      <x:c r="A559" t="str">
        <x:v>10450558</x:v>
      </x:c>
      <x:c r="B559" t="str">
        <x:v>40870558</x:v>
      </x:c>
      <x:c r="C559" t="str">
        <x:v>2023-08-23</x:v>
      </x:c>
      <x:c r="D559" t="str">
        <x:v>2023-08-23</x:v>
      </x:c>
      <x:c r="E559" t="str">
        <x:v>2023-08-24</x:v>
      </x:c>
      <x:c r="F559" t="str">
        <x:v>U400-DEETHANIZER-500</x:v>
      </x:c>
      <x:c r="G559" t="str">
        <x:v>TV-502</x:v>
      </x:c>
      <x:c r="H559" t="str">
        <x:v>condenser cooling valve</x:v>
      </x:c>
      <x:c r="I559" t="str">
        <x:v>control_valve</x:v>
      </x:c>
      <x:c r="J559" t="str">
        <x:v>P3</x:v>
      </x:c>
      <x:c r="K559" t="str">
        <x:v>CLSD</x:v>
      </x:c>
      <x:c r="L559" t="str">
        <x:v>E&amp;I</x:v>
      </x:c>
      <x:c r="M559" t="str">
        <x:v>condenser_fouling</x:v>
      </x:c>
      <x:c r="N559" t="str">
        <x:v>passing</x:v>
      </x:c>
      <x:c r="O559" t="str">
        <x:v>LEAK_BY</x:v>
      </x:c>
      <x:c r="P559" t="str">
        <x:v>SEAT</x:v>
      </x:c>
      <x:c r="Q559" t="str">
        <x:v>N</x:v>
      </x:c>
      <x:c r="R559" t="str">
        <x:v>9.7</x:v>
      </x:c>
      <x:c r="S559" t="str">
        <x:v>3559.04</x:v>
      </x:c>
      <x:c r="T559" t="str">
        <x:v>TV-502 passing again, prod upset</x:v>
      </x:c>
      <x:c r="U559" t="str">
        <x:v>night called for TV-502 condenser cooling valve, pic wide open seen during condenser fouling. Foud passing; seat leak by. cleaned and put back online. no leak at handover. notif made by ops, maint attended same shift.</x:v>
      </x:c>
    </x:row>
    <x:row r="560" ht="15" hidden="0" customHeight="1">
      <x:c r="A560" t="str">
        <x:v>10450559</x:v>
      </x:c>
      <x:c r="B560" t="str">
        <x:v>40870559</x:v>
      </x:c>
      <x:c r="C560" t="str">
        <x:v>2023-08-27</x:v>
      </x:c>
      <x:c r="D560" t="str">
        <x:v>2023-08-27</x:v>
      </x:c>
      <x:c r="E560" t="str">
        <x:v>2023-08-29</x:v>
      </x:c>
      <x:c r="F560" t="str">
        <x:v>U400-DEETHANIZER-500</x:v>
      </x:c>
      <x:c r="G560" t="str">
        <x:v>TV-502</x:v>
      </x:c>
      <x:c r="H560" t="str">
        <x:v>condenser cooling valve</x:v>
      </x:c>
      <x:c r="I560" t="str">
        <x:v>control_valve</x:v>
      </x:c>
      <x:c r="J560" t="str">
        <x:v>P3</x:v>
      </x:c>
      <x:c r="K560" t="str">
        <x:v>TECO</x:v>
      </x:c>
      <x:c r="L560" t="str">
        <x:v>INST</x:v>
      </x:c>
      <x:c r="M560" t="str">
        <x:v>condenser_fouling</x:v>
      </x:c>
      <x:c r="N560" t="str">
        <x:v>passing</x:v>
      </x:c>
      <x:c r="O560" t="str">
        <x:v>LEAK_BY</x:v>
      </x:c>
      <x:c r="P560" t="str">
        <x:v>SEAT</x:v>
      </x:c>
      <x:c r="Q560" t="str">
        <x:v>N</x:v>
      </x:c>
      <x:c r="R560" t="str">
        <x:v>5.7</x:v>
      </x:c>
      <x:c r="S560" t="str">
        <x:v>1555.08</x:v>
      </x:c>
      <x:c r="T560" t="str">
        <x:v>TV-502 not ok after condenser fouling</x:v>
      </x:c>
      <x:c r="U560" t="str">
        <x:v>B shift called for TV-502 condenser cooling vavle, high ovhd press seen during condenser fouling. Foud passing; seat leak by. replaced positioner tubing and retuned small. no leak at handover. notif made by ops, maint attended same shift.</x:v>
      </x:c>
    </x:row>
    <x:row r="561" ht="15" hidden="0" customHeight="1">
      <x:c r="A561" t="str">
        <x:v>10450560</x:v>
      </x:c>
      <x:c r="B561" t="str">
        <x:v>40870560</x:v>
      </x:c>
      <x:c r="C561" t="str">
        <x:v>2023-08-31</x:v>
      </x:c>
      <x:c r="D561" t="str">
        <x:v>2023-08-31</x:v>
      </x:c>
      <x:c r="E561" t="str">
        <x:v>2023-09-01</x:v>
      </x:c>
      <x:c r="F561" t="str">
        <x:v>U400-DEETHANIZER-500</x:v>
      </x:c>
      <x:c r="G561" t="str">
        <x:v>TV-502</x:v>
      </x:c>
      <x:c r="H561" t="str">
        <x:v>condenser cooling valve</x:v>
      </x:c>
      <x:c r="I561" t="str">
        <x:v>control_valve</x:v>
      </x:c>
      <x:c r="J561" t="str">
        <x:v>P1</x:v>
      </x:c>
      <x:c r="K561" t="str">
        <x:v>TECO</x:v>
      </x:c>
      <x:c r="L561" t="str">
        <x:v>INST</x:v>
      </x:c>
      <x:c r="M561" t="str">
        <x:v>condenser_fouling</x:v>
      </x:c>
      <x:c r="N561" t="str">
        <x:v>passing</x:v>
      </x:c>
      <x:c r="O561" t="str">
        <x:v>LEAK_BY</x:v>
      </x:c>
      <x:c r="P561" t="str">
        <x:v>SEAT</x:v>
      </x:c>
      <x:c r="Q561" t="str">
        <x:v>N</x:v>
      </x:c>
      <x:c r="R561" t="str">
        <x:v>17.6</x:v>
      </x:c>
      <x:c r="S561" t="str">
        <x:v>2642.5</x:v>
      </x:c>
      <x:c r="T561" t="str">
        <x:v>TV-502 not ok after condenser fouling</x:v>
      </x:c>
      <x:c r="U561" t="str">
        <x:v>A shift called for TV-502 condenser cooling valve, high ovhd press seen during condenser fouling. Foud passing; seat leak by. No spare in store at first, used refurb one from shop. opened strainer, cleaned black sludge. ops says ok for now. notif made by ops, maint attended same shift.</x:v>
      </x:c>
    </x:row>
    <x:row r="562" ht="15" hidden="0" customHeight="1">
      <x:c r="A562" t="str">
        <x:v>10450561</x:v>
      </x:c>
      <x:c r="B562" t="str">
        <x:v>40870561</x:v>
      </x:c>
      <x:c r="C562" t="str">
        <x:v>2023-08-27</x:v>
      </x:c>
      <x:c r="D562" t="str">
        <x:v>2023-08-29</x:v>
      </x:c>
      <x:c r="E562" t="str">
        <x:v>2023-09-01</x:v>
      </x:c>
      <x:c r="F562" t="str">
        <x:v>U400-DEETHANIZER-500</x:v>
      </x:c>
      <x:c r="G562" t="str">
        <x:v>E-502</x:v>
      </x:c>
      <x:c r="H562" t="str">
        <x:v>deethanizer overhead condenser</x:v>
      </x:c>
      <x:c r="I562" t="str">
        <x:v>condenser</x:v>
      </x:c>
      <x:c r="J562" t="str">
        <x:v>P3</x:v>
      </x:c>
      <x:c r="K562" t="str">
        <x:v>CLSD</x:v>
      </x:c>
      <x:c r="L562" t="str">
        <x:v>E&amp;I</x:v>
      </x:c>
      <x:c r="M562" t="str">
        <x:v>condenser_fouling</x:v>
      </x:c>
      <x:c r="N562" t="str">
        <x:v>tube leak sus</x:v>
      </x:c>
      <x:c r="O562" t="str">
        <x:v>LEAK</x:v>
      </x:c>
      <x:c r="P562" t="str">
        <x:v>TUBE</x:v>
      </x:c>
      <x:c r="Q562" t="str">
        <x:v>N</x:v>
      </x:c>
      <x:c r="R562" t="str">
        <x:v>14.5</x:v>
      </x:c>
      <x:c r="S562" t="str">
        <x:v>946.96</x:v>
      </x:c>
      <x:c r="T562" t="str">
        <x:v>E-502 tube leak sus again, prod upset</x:v>
      </x:c>
      <x:c r="U562" t="str">
        <x:v>C shift called for E-502 deethanizer overhead condnsr, drum temp hi seen during condnsr fouling. Foud tube leak sus; hydrotest reqd. History shows same complain last mnth. tightened fittings, leak test ok. unit stable now. notif made by ops, maint attended same shift.</x:v>
      </x:c>
    </x:row>
    <x:row r="563" ht="15" hidden="0" customHeight="1">
      <x:c r="A563" t="str">
        <x:v>10450562</x:v>
      </x:c>
      <x:c r="B563" t="str">
        <x:v>40870562</x:v>
      </x:c>
      <x:c r="C563" t="str">
        <x:v>2023-09-01</x:v>
      </x:c>
      <x:c r="D563" t="str">
        <x:v>2023-09-02</x:v>
      </x:c>
      <x:c r="E563" t="str">
        <x:v>2023-09-05</x:v>
      </x:c>
      <x:c r="F563" t="str">
        <x:v>U400-DEETHANIZER-500</x:v>
      </x:c>
      <x:c r="G563" t="str">
        <x:v>T-501</x:v>
      </x:c>
      <x:c r="H563" t="str">
        <x:v>deethanizer column</x:v>
      </x:c>
      <x:c r="I563" t="str">
        <x:v>column</x:v>
      </x:c>
      <x:c r="J563" t="str">
        <x:v>P3</x:v>
      </x:c>
      <x:c r="K563" t="str">
        <x:v>CLSD</x:v>
      </x:c>
      <x:c r="L563" t="str">
        <x:v>INST</x:v>
      </x:c>
      <x:c r="M563" t="str">
        <x:v>pressure_control_fault</x:v>
      </x:c>
      <x:c r="N563" t="str">
        <x:v>tray temp bad</x:v>
      </x:c>
      <x:c r="O563" t="str">
        <x:v>TEMP_DEV</x:v>
      </x:c>
      <x:c r="P563" t="str">
        <x:v>PROCESS</x:v>
      </x:c>
      <x:c r="Q563" t="str">
        <x:v>N</x:v>
      </x:c>
      <x:c r="R563" t="str">
        <x:v>3.5</x:v>
      </x:c>
      <x:c r="S563" t="str">
        <x:v>4814.53</x:v>
      </x:c>
      <x:c r="T563" t="str">
        <x:v>T-501 pic unstable, tray temp bad</x:v>
      </x:c>
      <x:c r="U563" t="str">
        <x:v>B shift called for T-501 deethanizer column, pv not movng seen during press ctrl fault. Foud tray temp bad; profile not normal. opened strainer, cleaned black sludge. need watch next feed swing. notif made by ops, maint attended same shift.</x:v>
      </x:c>
    </x:row>
    <x:row r="564" ht="15" hidden="0" customHeight="1">
      <x:c r="A564" t="str">
        <x:v>10450563</x:v>
      </x:c>
      <x:c r="B564" t="str">
        <x:v>40870563</x:v>
      </x:c>
      <x:c r="C564" t="str">
        <x:v>2023-08-30</x:v>
      </x:c>
      <x:c r="D564" t="str">
        <x:v>2023-08-31</x:v>
      </x:c>
      <x:c r="E564" t="str">
        <x:v>2023-09-02</x:v>
      </x:c>
      <x:c r="F564" t="str">
        <x:v>U400-DEETHANIZER-500</x:v>
      </x:c>
      <x:c r="G564" t="str">
        <x:v>P-501A</x:v>
      </x:c>
      <x:c r="H564" t="str">
        <x:v>reflux pump A</x:v>
      </x:c>
      <x:c r="I564" t="str">
        <x:v>pump</x:v>
      </x:c>
      <x:c r="J564" t="str">
        <x:v>P2</x:v>
      </x:c>
      <x:c r="K564" t="str">
        <x:v>COMP</x:v>
      </x:c>
      <x:c r="L564" t="str">
        <x:v>MECH</x:v>
      </x:c>
      <x:c r="M564" t="str">
        <x:v>reflux_pump_degradation</x:v>
      </x:c>
      <x:c r="N564" t="str">
        <x:v>bearing hot</x:v>
      </x:c>
      <x:c r="O564" t="str">
        <x:v>BRG</x:v>
      </x:c>
      <x:c r="P564" t="str">
        <x:v>WEAR</x:v>
      </x:c>
      <x:c r="Q564" t="str">
        <x:v>N</x:v>
      </x:c>
      <x:c r="R564" t="str">
        <x:v>10.4</x:v>
      </x:c>
      <x:c r="S564" t="str">
        <x:v>5927.27</x:v>
      </x:c>
      <x:c r="T564" t="str">
        <x:v>chk P-501A - bearing hot frm ops</x:v>
      </x:c>
      <x:c r="U564" t="str">
        <x:v>B shift called for P-501A reflux pump A, pump vib seen during reflux pump degradation. Foud bearing hot; brg rough, lube dark. changed gasket and boxed up. readng close to dcs after job. notif made by ops, maint attended same shift.</x:v>
      </x:c>
    </x:row>
    <x:row r="565" ht="15" hidden="0" customHeight="1">
      <x:c r="A565" t="str">
        <x:v>10450564</x:v>
      </x:c>
      <x:c r="B565" t="str">
        <x:v>40870564</x:v>
      </x:c>
      <x:c r="C565" t="str">
        <x:v>2023-09-02</x:v>
      </x:c>
      <x:c r="D565" t="str">
        <x:v>2023-09-02</x:v>
      </x:c>
      <x:c r="E565" t="str">
        <x:v>2023-09-02</x:v>
      </x:c>
      <x:c r="F565" t="str">
        <x:v>U400-DEETHANIZER-500</x:v>
      </x:c>
      <x:c r="G565" t="str">
        <x:v>T-501</x:v>
      </x:c>
      <x:c r="H565" t="str">
        <x:v>deethanizer column</x:v>
      </x:c>
      <x:c r="I565" t="str">
        <x:v>column</x:v>
      </x:c>
      <x:c r="J565" t="str">
        <x:v>P2</x:v>
      </x:c>
      <x:c r="K565" t="str">
        <x:v>COMP</x:v>
      </x:c>
      <x:c r="L565" t="str">
        <x:v>ANLYZR</x:v>
      </x:c>
      <x:c r="M565" t="str">
        <x:v>condenser_fouling</x:v>
      </x:c>
      <x:c r="N565" t="str">
        <x:v>level unstable</x:v>
      </x:c>
      <x:c r="O565" t="str">
        <x:v>LVL_SWING</x:v>
      </x:c>
      <x:c r="P565" t="str">
        <x:v>CTRL</x:v>
      </x:c>
      <x:c r="Q565" t="str">
        <x:v>N</x:v>
      </x:c>
      <x:c r="R565" t="str">
        <x:v>3.9</x:v>
      </x:c>
      <x:c r="S565" t="str">
        <x:v>101.78</x:v>
      </x:c>
      <x:c r="T565" t="str">
        <x:v>T-501 level unstable again, prod upset</x:v>
      </x:c>
      <x:c r="U565" t="str">
        <x:v>A shift called for T-501 deethanizer column, high ovhd press seen during condenser fouling. Foud level unstable; sump level swing. opened strainer, cleaned black sludge. need watch next feed swing. notif made by ops, maint attended same shift.</x:v>
      </x:c>
    </x:row>
    <x:row r="566" ht="15" hidden="0" customHeight="1">
      <x:c r="A566" t="str">
        <x:v>10450565</x:v>
      </x:c>
      <x:c r="B566" t="str">
        <x:v>40870565</x:v>
      </x:c>
      <x:c r="C566" t="str">
        <x:v>2023-09-05</x:v>
      </x:c>
      <x:c r="D566" t="str">
        <x:v>2023-09-05</x:v>
      </x:c>
      <x:c r="E566" t="str">
        <x:v>2023-09-19</x:v>
      </x:c>
      <x:c r="F566" t="str">
        <x:v>U400-DEETHANIZER-500</x:v>
      </x:c>
      <x:c r="G566" t="str">
        <x:v>E-501</x:v>
      </x:c>
      <x:c r="H566" t="str">
        <x:v>deethanizer reboiler</x:v>
      </x:c>
      <x:c r="I566" t="str">
        <x:v>reboiler</x:v>
      </x:c>
      <x:c r="J566" t="str">
        <x:v>P4</x:v>
      </x:c>
      <x:c r="K566" t="str">
        <x:v>CLSD</x:v>
      </x:c>
      <x:c r="L566" t="str">
        <x:v>ROT</x:v>
      </x:c>
      <x:c r="M566" t="str">
        <x:v>feed_temperature_ramp</x:v>
      </x:c>
      <x:c r="N566" t="str">
        <x:v>circ poor</x:v>
      </x:c>
      <x:c r="O566" t="str">
        <x:v>NO_FLOW</x:v>
      </x:c>
      <x:c r="P566" t="str">
        <x:v>PLUG</x:v>
      </x:c>
      <x:c r="Q566" t="str">
        <x:v>N</x:v>
      </x:c>
      <x:c r="R566" t="str">
        <x:v>4.0</x:v>
      </x:c>
      <x:c r="S566" t="str">
        <x:v>118.41</x:v>
      </x:c>
      <x:c r="T566" t="str">
        <x:v>E-501 circ poor temp fix</x:v>
      </x:c>
      <x:c r="U566" t="str">
        <x:v>B shift called for E-501 deethanizer reboiler, tray temp drift seen during feed temp ramp. Foud circ poor; blocked inlet screen. reset trip and monitored for 2 hrs. readng close to dcs after job. notif made by ops, maint attended same shift.</x:v>
      </x:c>
    </x:row>
    <x:row r="567" ht="15" hidden="0" customHeight="1">
      <x:c r="A567" t="str">
        <x:v>10450566</x:v>
      </x:c>
      <x:c r="B567" t="str">
        <x:v>40870566</x:v>
      </x:c>
      <x:c r="C567" t="str">
        <x:v>2023-09-06</x:v>
      </x:c>
      <x:c r="D567" t="str">
        <x:v>2023-09-08</x:v>
      </x:c>
      <x:c r="E567" t="str">
        <x:v>2023-09-15</x:v>
      </x:c>
      <x:c r="F567" t="str">
        <x:v>U400-DEETHANIZER-500</x:v>
      </x:c>
      <x:c r="G567" t="str">
        <x:v>P-501A</x:v>
      </x:c>
      <x:c r="H567" t="str">
        <x:v>reflux pump A</x:v>
      </x:c>
      <x:c r="I567" t="str">
        <x:v>pump</x:v>
      </x:c>
      <x:c r="J567" t="str">
        <x:v>P3</x:v>
      </x:c>
      <x:c r="K567" t="str">
        <x:v>CLSD</x:v>
      </x:c>
      <x:c r="L567" t="str">
        <x:v>ANLYZR</x:v>
      </x:c>
      <x:c r="M567" t="str">
        <x:v>condenser_fouling</x:v>
      </x:c>
      <x:c r="N567" t="str">
        <x:v>motor trip</x:v>
      </x:c>
      <x:c r="O567" t="str">
        <x:v>MOTOR</x:v>
      </x:c>
      <x:c r="P567" t="str">
        <x:v>ELEC</x:v>
      </x:c>
      <x:c r="Q567" t="str">
        <x:v>N</x:v>
      </x:c>
      <x:c r="R567" t="str">
        <x:v>12.5</x:v>
      </x:c>
      <x:c r="S567" t="str">
        <x:v>13971.8</x:v>
      </x:c>
      <x:c r="T567" t="str">
        <x:v>P-501A cond not pullng, motor trip</x:v>
      </x:c>
      <x:c r="U567" t="str">
        <x:v>days called for P-501A reflux pump A, high ovhd press seen during condenser fouling. Foud motor trip; overload trip after upset. calibrated, loop checked with CCR. need watch next feed swing. notif made by ops, maint attended same shift.</x:v>
      </x:c>
    </x:row>
    <x:row r="568" ht="15" hidden="0" customHeight="1">
      <x:c r="A568" t="str">
        <x:v>10450567</x:v>
      </x:c>
      <x:c r="B568" t="str">
        <x:v>40870567</x:v>
      </x:c>
      <x:c r="C568" t="str">
        <x:v>2023-09-08</x:v>
      </x:c>
      <x:c r="D568" t="str">
        <x:v>2023-09-08</x:v>
      </x:c>
      <x:c r="E568" t="str">
        <x:v>2023-09-11</x:v>
      </x:c>
      <x:c r="F568" t="str">
        <x:v>U400-DEETHANIZER-500</x:v>
      </x:c>
      <x:c r="G568" t="str">
        <x:v>FV-501</x:v>
      </x:c>
      <x:c r="H568" t="str">
        <x:v>feed flow control valve</x:v>
      </x:c>
      <x:c r="I568" t="str">
        <x:v>control_valve</x:v>
      </x:c>
      <x:c r="J568" t="str">
        <x:v>P4</x:v>
      </x:c>
      <x:c r="K568" t="str">
        <x:v>COMP</x:v>
      </x:c>
      <x:c r="L568" t="str">
        <x:v>VALVE</x:v>
      </x:c>
      <x:c r="M568" t="str">
        <x:v>feed_flow_step</x:v>
      </x:c>
      <x:c r="N568" t="str">
        <x:v>not stroking</x:v>
      </x:c>
      <x:c r="O568" t="str">
        <x:v>NO_TRAVEL</x:v>
      </x:c>
      <x:c r="P568" t="str">
        <x:v>ACT</x:v>
      </x:c>
      <x:c r="Q568" t="str">
        <x:v>N</x:v>
      </x:c>
      <x:c r="R568" t="str">
        <x:v>10.3</x:v>
      </x:c>
      <x:c r="S568" t="str">
        <x:v>3930.57</x:v>
      </x:c>
      <x:c r="T568" t="str">
        <x:v>FV-501 not ok after feed flow step</x:v>
      </x:c>
      <x:c r="U568" t="str">
        <x:v>night called for FV-501 feed flow control valve, lvl swing seen during feed flow step. Foud not stroking; actuator weak. flushed impulse/sample line. readng close to dcs after job. notif made by ops, maint attended same shift.</x:v>
      </x:c>
    </x:row>
    <x:row r="569" ht="15" hidden="0" customHeight="1">
      <x:c r="A569" t="str">
        <x:v>10450568</x:v>
      </x:c>
      <x:c r="B569" t="str">
        <x:v>40870568</x:v>
      </x:c>
      <x:c r="C569" t="str">
        <x:v>2023-09-09</x:v>
      </x:c>
      <x:c r="D569" t="str">
        <x:v>2023-09-09</x:v>
      </x:c>
      <x:c r="E569" t="str">
        <x:v>2023-09-11</x:v>
      </x:c>
      <x:c r="F569" t="str">
        <x:v>U400-DEETHANIZER-500</x:v>
      </x:c>
      <x:c r="G569" t="str">
        <x:v>TV-502</x:v>
      </x:c>
      <x:c r="H569" t="str">
        <x:v>condenser cooling valve</x:v>
      </x:c>
      <x:c r="I569" t="str">
        <x:v>control_valve</x:v>
      </x:c>
      <x:c r="J569" t="str">
        <x:v>P1</x:v>
      </x:c>
      <x:c r="K569" t="str">
        <x:v>COMP</x:v>
      </x:c>
      <x:c r="L569" t="str">
        <x:v>ROT</x:v>
      </x:c>
      <x:c r="M569" t="str">
        <x:v>condenser_fouling</x:v>
      </x:c>
      <x:c r="N569" t="str">
        <x:v>not stroking</x:v>
      </x:c>
      <x:c r="O569" t="str">
        <x:v>NO_TRAVEL</x:v>
      </x:c>
      <x:c r="P569" t="str">
        <x:v>ACT</x:v>
      </x:c>
      <x:c r="Q569" t="str">
        <x:v>N</x:v>
      </x:c>
      <x:c r="R569" t="str">
        <x:v>10.0</x:v>
      </x:c>
      <x:c r="S569" t="str">
        <x:v>4310.78</x:v>
      </x:c>
      <x:c r="T569" t="str">
        <x:v>chk TV-502 - not stroking frm ops</x:v>
      </x:c>
      <x:c r="U569" t="str">
        <x:v>B shift called for TV-502 condenser cooling valve, pic wide open seen during condenser fouling. Foud not stroking; actuator weak. calibrated, loop checked with CCR. need watch next feed swing. notif made by ops, maint attended same shift.</x:v>
      </x:c>
    </x:row>
    <x:row r="570" ht="15" hidden="0" customHeight="1">
      <x:c r="A570" t="str">
        <x:v>10450569</x:v>
      </x:c>
      <x:c r="B570" t="str">
        <x:v>40870569</x:v>
      </x:c>
      <x:c r="C570" t="str">
        <x:v>2023-09-10</x:v>
      </x:c>
      <x:c r="D570" t="str">
        <x:v>2023-09-10</x:v>
      </x:c>
      <x:c r="E570" t="str">
        <x:v>2023-09-15</x:v>
      </x:c>
      <x:c r="F570" t="str">
        <x:v>U400-DEETHANIZER-500</x:v>
      </x:c>
      <x:c r="G570" t="str">
        <x:v>V-501</x:v>
      </x:c>
      <x:c r="H570" t="str">
        <x:v>deethanizer reflux drum</x:v>
      </x:c>
      <x:c r="I570" t="str">
        <x:v>vessel</x:v>
      </x:c>
      <x:c r="J570" t="str">
        <x:v>P2</x:v>
      </x:c>
      <x:c r="K570" t="str">
        <x:v>TECO</x:v>
      </x:c>
      <x:c r="L570" t="str">
        <x:v>ANLYZR</x:v>
      </x:c>
      <x:c r="M570" t="str">
        <x:v>reboiler_duty_loss</x:v>
      </x:c>
      <x:c r="N570" t="str">
        <x:v>level swing</x:v>
      </x:c>
      <x:c r="O570" t="str">
        <x:v>LVL_SWING</x:v>
      </x:c>
      <x:c r="P570" t="str">
        <x:v>CTRL</x:v>
      </x:c>
      <x:c r="Q570" t="str">
        <x:v>N</x:v>
      </x:c>
      <x:c r="R570" t="str">
        <x:v>17.1</x:v>
      </x:c>
      <x:c r="S570" t="str">
        <x:v>872.56</x:v>
      </x:c>
      <x:c r="T570" t="str">
        <x:v>V-501 low heat, level swing</x:v>
      </x:c>
      <x:c r="U570" t="str">
        <x:v>night called for V-501 deethanizer reflux drum, steam/hm valve no resp seen during rebiler duty loss. Foud level swing; lt/lic problem. changed gasket and boxed up. ops says ok for now. notif made by ops, maint attended same shift.</x:v>
      </x:c>
    </x:row>
    <x:row r="571" ht="15" hidden="0" customHeight="1">
      <x:c r="A571" t="str">
        <x:v>10450570</x:v>
      </x:c>
      <x:c r="B571" t="str">
        <x:v>40870570</x:v>
      </x:c>
      <x:c r="C571" t="str">
        <x:v>2023-09-10</x:v>
      </x:c>
      <x:c r="D571" t="str">
        <x:v>2023-09-10</x:v>
      </x:c>
      <x:c r="E571" t="str">
        <x:v>2023-09-24</x:v>
      </x:c>
      <x:c r="F571" t="str">
        <x:v>U400-DEETHANIZER-500</x:v>
      </x:c>
      <x:c r="G571" t="str">
        <x:v>FT-502</x:v>
      </x:c>
      <x:c r="H571" t="str">
        <x:v>reflux flow transmitter</x:v>
      </x:c>
      <x:c r="I571" t="str">
        <x:v>instrument</x:v>
      </x:c>
      <x:c r="J571" t="str">
        <x:v>P3</x:v>
      </x:c>
      <x:c r="K571" t="str">
        <x:v>TECO</x:v>
      </x:c>
      <x:c r="L571" t="str">
        <x:v>INST</x:v>
      </x:c>
      <x:c r="M571" t="str">
        <x:v>reflux_pump_degradation</x:v>
      </x:c>
      <x:c r="N571" t="str">
        <x:v>no signal</x:v>
      </x:c>
      <x:c r="O571" t="str">
        <x:v>NO_SIGNAL</x:v>
      </x:c>
      <x:c r="P571" t="str">
        <x:v>ELEC</x:v>
      </x:c>
      <x:c r="Q571" t="str">
        <x:v>N</x:v>
      </x:c>
      <x:c r="R571" t="str">
        <x:v>12.3</x:v>
      </x:c>
      <x:c r="S571" t="str">
        <x:v>3044.74</x:v>
      </x:c>
      <x:c r="T571" t="str">
        <x:v>chk FT-502 - no signal frm ops</x:v>
      </x:c>
      <x:c r="U571" t="str">
        <x:v>A shift called for FT-502 reflux flow transmitter, pump vib seen during reflux pump degradation. Foud no signal; 24v or card issue. tightened fittings, leak test ok. need watch next feed swing. notif made by ops, maint attended same shift.</x:v>
      </x:c>
    </x:row>
    <x:row r="572" ht="15" hidden="0" customHeight="1">
      <x:c r="A572" t="str">
        <x:v>10450571</x:v>
      </x:c>
      <x:c r="B572" t="str">
        <x:v>40870571</x:v>
      </x:c>
      <x:c r="C572" t="str">
        <x:v>2023-09-13</x:v>
      </x:c>
      <x:c r="D572" t="str">
        <x:v>2023-09-14</x:v>
      </x:c>
      <x:c r="E572" t="str">
        <x:v>2023-09-15</x:v>
      </x:c>
      <x:c r="F572" t="str">
        <x:v>U400-DEETHANIZER-500</x:v>
      </x:c>
      <x:c r="G572" t="str">
        <x:v>FT-502</x:v>
      </x:c>
      <x:c r="H572" t="str">
        <x:v>reflux flow transmitter</x:v>
      </x:c>
      <x:c r="I572" t="str">
        <x:v>instrument</x:v>
      </x:c>
      <x:c r="J572" t="str">
        <x:v>P3</x:v>
      </x:c>
      <x:c r="K572" t="str">
        <x:v>CLSD</x:v>
      </x:c>
      <x:c r="L572" t="str">
        <x:v>OPS+INST</x:v>
      </x:c>
      <x:c r="M572" t="str">
        <x:v>reflux_pump_degradation</x:v>
      </x:c>
      <x:c r="N572" t="str">
        <x:v>no signal</x:v>
      </x:c>
      <x:c r="O572" t="str">
        <x:v>NO_SIGNAL</x:v>
      </x:c>
      <x:c r="P572" t="str">
        <x:v>ELEC</x:v>
      </x:c>
      <x:c r="Q572" t="str">
        <x:v>N</x:v>
      </x:c>
      <x:c r="R572" t="str">
        <x:v>16.9</x:v>
      </x:c>
      <x:c r="S572" t="str">
        <x:v>1377.97</x:v>
      </x:c>
      <x:c r="T572" t="str">
        <x:v>FT-502 not ok after reflux pump degradation</x:v>
      </x:c>
      <x:c r="U572" t="str">
        <x:v>C shift called for FT-502 reflux flow tx, disch press low seen during reflux pump degradation. Foud no signal; 24v or card issue. stroke tested, response better. temp repair only, plan shutdown job. notif made by ops, maint attended same shift.</x:v>
      </x:c>
    </x:row>
    <x:row r="573" ht="15" hidden="0" customHeight="1">
      <x:c r="A573" t="str">
        <x:v>10450572</x:v>
      </x:c>
      <x:c r="B573" t="str">
        <x:v>40870572</x:v>
      </x:c>
      <x:c r="C573" t="str">
        <x:v>2023-09-15</x:v>
      </x:c>
      <x:c r="D573" t="str">
        <x:v>2023-09-17</x:v>
      </x:c>
      <x:c r="E573" t="str">
        <x:v>2023-09-19</x:v>
      </x:c>
      <x:c r="F573" t="str">
        <x:v>U400-DEETHANIZER-500</x:v>
      </x:c>
      <x:c r="G573" t="str">
        <x:v>E-502</x:v>
      </x:c>
      <x:c r="H573" t="str">
        <x:v>deethanizer overhead condenser</x:v>
      </x:c>
      <x:c r="I573" t="str">
        <x:v>condenser</x:v>
      </x:c>
      <x:c r="J573" t="str">
        <x:v>P3</x:v>
      </x:c>
      <x:c r="K573" t="str">
        <x:v>COMP</x:v>
      </x:c>
      <x:c r="L573" t="str">
        <x:v>OPS+MECH</x:v>
      </x:c>
      <x:c r="M573" t="str">
        <x:v>condenser_fouling</x:v>
      </x:c>
      <x:c r="N573" t="str">
        <x:v>cw fouling</x:v>
      </x:c>
      <x:c r="O573" t="str">
        <x:v>FOULING</x:v>
      </x:c>
      <x:c r="P573" t="str">
        <x:v>UTILITY</x:v>
      </x:c>
      <x:c r="Q573" t="str">
        <x:v>N</x:v>
      </x:c>
      <x:c r="R573" t="str">
        <x:v>10.3</x:v>
      </x:c>
      <x:c r="S573" t="str">
        <x:v>17039.17</x:v>
      </x:c>
      <x:c r="T573" t="str">
        <x:v>E-502 cw fouling after upset</x:v>
      </x:c>
      <x:c r="U573" t="str">
        <x:v>days called for E-502 deethanizer overhead condenser, high ovhd press seen during condenser fouling. Foud cw fouling; cw side scaled. History shows same complain last mnth. stroke tested, response better. unit stable now. notif made by ops, maint attended same shift.</x:v>
      </x:c>
    </x:row>
    <x:row r="574" ht="15" hidden="0" customHeight="1">
      <x:c r="A574" t="str">
        <x:v>10450573</x:v>
      </x:c>
      <x:c r="B574" t="str">
        <x:v>40870573</x:v>
      </x:c>
      <x:c r="C574" t="str">
        <x:v>2023-09-15</x:v>
      </x:c>
      <x:c r="D574" t="str">
        <x:v>2023-09-15</x:v>
      </x:c>
      <x:c r="E574" t="str">
        <x:v>2023-09-18</x:v>
      </x:c>
      <x:c r="F574" t="str">
        <x:v>U400-DEETHANIZER-500</x:v>
      </x:c>
      <x:c r="G574" t="str">
        <x:v>LV-501</x:v>
      </x:c>
      <x:c r="H574" t="str">
        <x:v>reflux drum level valve</x:v>
      </x:c>
      <x:c r="I574" t="str">
        <x:v>control_valve</x:v>
      </x:c>
      <x:c r="J574" t="str">
        <x:v>P3</x:v>
      </x:c>
      <x:c r="K574" t="str">
        <x:v>COMP</x:v>
      </x:c>
      <x:c r="L574" t="str">
        <x:v>INST</x:v>
      </x:c>
      <x:c r="M574" t="str">
        <x:v>valve_stiction</x:v>
      </x:c>
      <x:c r="N574" t="str">
        <x:v>stiction</x:v>
      </x:c>
      <x:c r="O574" t="str">
        <x:v>STICK</x:v>
      </x:c>
      <x:c r="P574" t="str">
        <x:v>PACKING</x:v>
      </x:c>
      <x:c r="Q574" t="str">
        <x:v>N</x:v>
      </x:c>
      <x:c r="R574" t="str">
        <x:v>6.9</x:v>
      </x:c>
      <x:c r="S574" t="str">
        <x:v>5705.11</x:v>
      </x:c>
      <x:c r="T574" t="str">
        <x:v>chk LV-501 - stiction frm ops</x:v>
      </x:c>
      <x:c r="U574" t="str">
        <x:v>B shift called for LV-501 reflux drum level valve, op jumps seen during valve stiction. Foud stiction; stem sticky and pos err. Tag plate dirty, confirmd by line up with panel. changed gasket and boxed up. readng close to dcs after job. notif made by ops, maint attended same shift.</x:v>
      </x:c>
    </x:row>
    <x:row r="575" ht="15" hidden="0" customHeight="1">
      <x:c r="A575" t="str">
        <x:v>10450574</x:v>
      </x:c>
      <x:c r="B575" t="str">
        <x:v>40870574</x:v>
      </x:c>
      <x:c r="C575" t="str">
        <x:v>2023-09-15</x:v>
      </x:c>
      <x:c r="D575" t="str">
        <x:v>2023-09-15</x:v>
      </x:c>
      <x:c r="E575" t="str">
        <x:v>2023-09-20</x:v>
      </x:c>
      <x:c r="F575" t="str">
        <x:v>U400-DEETHANIZER-500</x:v>
      </x:c>
      <x:c r="G575" t="str">
        <x:v>PV-501</x:v>
      </x:c>
      <x:c r="H575" t="str">
        <x:v>column pressure control valve</x:v>
      </x:c>
      <x:c r="I575" t="str">
        <x:v>control_valve</x:v>
      </x:c>
      <x:c r="J575" t="str">
        <x:v>P2</x:v>
      </x:c>
      <x:c r="K575" t="str">
        <x:v>TECO</x:v>
      </x:c>
      <x:c r="L575" t="str">
        <x:v>VALVE</x:v>
      </x:c>
      <x:c r="M575" t="str">
        <x:v>valve_stiction</x:v>
      </x:c>
      <x:c r="N575" t="str">
        <x:v>passing</x:v>
      </x:c>
      <x:c r="O575" t="str">
        <x:v>LEAK_BY</x:v>
      </x:c>
      <x:c r="P575" t="str">
        <x:v>SEAT</x:v>
      </x:c>
      <x:c r="Q575" t="str">
        <x:v>N</x:v>
      </x:c>
      <x:c r="R575" t="str">
        <x:v>7.9</x:v>
      </x:c>
      <x:c r="S575" t="str">
        <x:v>315.68</x:v>
      </x:c>
      <x:c r="T575" t="str">
        <x:v>PV-501 vavle sticking, passing</x:v>
      </x:c>
      <x:c r="U575" t="str">
        <x:v>C shift called for PV-501 column pressure control valve, op jumps seen during valve stiction. Foud passing; seat leak by. tightened fittings, leak test ok. no leak at handover. notif made by ops, maint attended same shift.</x:v>
      </x:c>
    </x:row>
    <x:row r="576" ht="15" hidden="0" customHeight="1">
      <x:c r="A576" t="str">
        <x:v>10450575</x:v>
      </x:c>
      <x:c r="B576" t="str">
        <x:v>40870575</x:v>
      </x:c>
      <x:c r="C576" t="str">
        <x:v>2023-09-18</x:v>
      </x:c>
      <x:c r="D576" t="str">
        <x:v>2023-09-19</x:v>
      </x:c>
      <x:c r="E576" t="str">
        <x:v>2023-09-20</x:v>
      </x:c>
      <x:c r="F576" t="str">
        <x:v>U400-DEETHANIZER-500</x:v>
      </x:c>
      <x:c r="G576" t="str">
        <x:v>PT-501</x:v>
      </x:c>
      <x:c r="H576" t="str">
        <x:v>column overhead pressure tx</x:v>
      </x:c>
      <x:c r="I576" t="str">
        <x:v>instrument</x:v>
      </x:c>
      <x:c r="J576" t="str">
        <x:v>P2</x:v>
      </x:c>
      <x:c r="K576" t="str">
        <x:v>TECO</x:v>
      </x:c>
      <x:c r="L576" t="str">
        <x:v>INST</x:v>
      </x:c>
      <x:c r="M576" t="str">
        <x:v>condenser_fouling</x:v>
      </x:c>
      <x:c r="N576" t="str">
        <x:v>bad reading</x:v>
      </x:c>
      <x:c r="O576" t="str">
        <x:v>DRIFT</x:v>
      </x:c>
      <x:c r="P576" t="str">
        <x:v>CAL</x:v>
      </x:c>
      <x:c r="Q576" t="str">
        <x:v>N</x:v>
      </x:c>
      <x:c r="R576" t="str">
        <x:v>16.5</x:v>
      </x:c>
      <x:c r="S576" t="str">
        <x:v>2941.18</x:v>
      </x:c>
      <x:c r="T576" t="str">
        <x:v>PT-501 bad reading after upset</x:v>
      </x:c>
      <x:c r="U576" t="str">
        <x:v>C shift called for PT-501 column overhead pressure tx, cond not pullng seen during condenser fouling. Foud bad reading; needs calib. changed gasket and boxed up. need watch next feed swing. notif made by ops, maint attended same shift.</x:v>
      </x:c>
    </x:row>
    <x:row r="577" ht="15" hidden="0" customHeight="1">
      <x:c r="A577" t="str">
        <x:v>10450576</x:v>
      </x:c>
      <x:c r="B577" t="str">
        <x:v>40870576</x:v>
      </x:c>
      <x:c r="C577" t="str">
        <x:v>2023-09-23</x:v>
      </x:c>
      <x:c r="D577" t="str">
        <x:v>2023-09-23</x:v>
      </x:c>
      <x:c r="E577" t="str">
        <x:v>2023-09-23</x:v>
      </x:c>
      <x:c r="F577" t="str">
        <x:v>U400-DEETHANIZER-500</x:v>
      </x:c>
      <x:c r="G577" t="str">
        <x:v>AIT-501</x:v>
      </x:c>
      <x:c r="H577" t="str">
        <x:v>overhead C2 analyzer</x:v>
      </x:c>
      <x:c r="I577" t="str">
        <x:v>analyzer</x:v>
      </x:c>
      <x:c r="J577" t="str">
        <x:v>P2</x:v>
      </x:c>
      <x:c r="K577" t="str">
        <x:v>TECO</x:v>
      </x:c>
      <x:c r="L577" t="str">
        <x:v>OPS+INST</x:v>
      </x:c>
      <x:c r="M577" t="str">
        <x:v>feed_composition_shift</x:v>
      </x:c>
      <x:c r="N577" t="str">
        <x:v>condensate in sample</x:v>
      </x:c>
      <x:c r="O577" t="str">
        <x:v>LIQ_CARRY</x:v>
      </x:c>
      <x:c r="P577" t="str">
        <x:v>SAMPLE</x:v>
      </x:c>
      <x:c r="Q577" t="str">
        <x:v>N</x:v>
      </x:c>
      <x:c r="R577" t="str">
        <x:v>4.7</x:v>
      </x:c>
      <x:c r="S577" t="str">
        <x:v>4597.0</x:v>
      </x:c>
      <x:c r="T577" t="str">
        <x:v>AIT-501 condensate in sample again, prod upset</x:v>
      </x:c>
      <x:c r="U577" t="str">
        <x:v>B shift called for AIT-501 overhead C2 analyzer, ovhd c3 slip seen during feed composition shift. Foud condensate in sample; knockout pot full. History shows same complain last mnth. reset trip and monitored for 2 hrs. need watch next feed swing. notif made by ops, maint attended same shift.</x:v>
      </x:c>
    </x:row>
    <x:row r="578" ht="15" hidden="0" customHeight="1">
      <x:c r="A578" t="str">
        <x:v>10450577</x:v>
      </x:c>
      <x:c r="B578" t="str">
        <x:v>40870577</x:v>
      </x:c>
      <x:c r="C578" t="str">
        <x:v>2023-09-22</x:v>
      </x:c>
      <x:c r="D578" t="str">
        <x:v>2023-09-23</x:v>
      </x:c>
      <x:c r="E578" t="str">
        <x:v>2023-09-30</x:v>
      </x:c>
      <x:c r="F578" t="str">
        <x:v>U400-DEETHANIZER-500</x:v>
      </x:c>
      <x:c r="G578" t="str">
        <x:v>T-501</x:v>
      </x:c>
      <x:c r="H578" t="str">
        <x:v>deethanizer column</x:v>
      </x:c>
      <x:c r="I578" t="str">
        <x:v>column</x:v>
      </x:c>
      <x:c r="J578" t="str">
        <x:v>P3</x:v>
      </x:c>
      <x:c r="K578" t="str">
        <x:v>CLSD</x:v>
      </x:c>
      <x:c r="L578" t="str">
        <x:v>OPS+MECH</x:v>
      </x:c>
      <x:c r="M578" t="str">
        <x:v>feed_flow_step</x:v>
      </x:c>
      <x:c r="N578" t="str">
        <x:v>weeping flange</x:v>
      </x:c>
      <x:c r="O578" t="str">
        <x:v>LEAK</x:v>
      </x:c>
      <x:c r="P578" t="str">
        <x:v>GASKET</x:v>
      </x:c>
      <x:c r="Q578" t="str">
        <x:v>N</x:v>
      </x:c>
      <x:c r="R578" t="str">
        <x:v>15.6</x:v>
      </x:c>
      <x:c r="S578" t="str">
        <x:v>5756.56</x:v>
      </x:c>
      <x:c r="T578" t="str">
        <x:v>T-501 feed jump, weeping flange</x:v>
      </x:c>
      <x:c r="U578" t="str">
        <x:v>A shift called for T-501 deethanizer column, fic hunting seen during feed flow step. Foud weeping flange; manway/flange seep. Tag plate dirty, confirmd by line up with panel. replaced positioner tubing and retuned small. still little hunting but acceptable. notif made by ops, maint attended same shift.</x:v>
      </x:c>
    </x:row>
    <x:row r="579" ht="15" hidden="0" customHeight="1">
      <x:c r="A579" t="str">
        <x:v>10450578</x:v>
      </x:c>
      <x:c r="B579" t="str">
        <x:v>40870578</x:v>
      </x:c>
      <x:c r="C579" t="str">
        <x:v>2023-09-22</x:v>
      </x:c>
      <x:c r="D579" t="str">
        <x:v>2023-09-22</x:v>
      </x:c>
      <x:c r="E579" t="str">
        <x:v>2023-09-23</x:v>
      </x:c>
      <x:c r="F579" t="str">
        <x:v>U400-DEETHANIZER-500</x:v>
      </x:c>
      <x:c r="G579" t="str">
        <x:v>TV-502</x:v>
      </x:c>
      <x:c r="H579" t="str">
        <x:v>condenser cooling valve</x:v>
      </x:c>
      <x:c r="I579" t="str">
        <x:v>control_valve</x:v>
      </x:c>
      <x:c r="J579" t="str">
        <x:v>P3</x:v>
      </x:c>
      <x:c r="K579" t="str">
        <x:v>COMP</x:v>
      </x:c>
      <x:c r="L579" t="str">
        <x:v>ROT</x:v>
      </x:c>
      <x:c r="M579" t="str">
        <x:v>condenser_fouling</x:v>
      </x:c>
      <x:c r="N579" t="str">
        <x:v>air leak</x:v>
      </x:c>
      <x:c r="O579" t="str">
        <x:v>AIR_LEAK</x:v>
      </x:c>
      <x:c r="P579" t="str">
        <x:v>TUBING</x:v>
      </x:c>
      <x:c r="Q579" t="str">
        <x:v>N</x:v>
      </x:c>
      <x:c r="R579" t="str">
        <x:v>7.9</x:v>
      </x:c>
      <x:c r="S579" t="str">
        <x:v>1551.14</x:v>
      </x:c>
      <x:c r="T579" t="str">
        <x:v>TV-502 air leak again, prod upset</x:v>
      </x:c>
      <x:c r="U579" t="str">
        <x:v>A shift called for TV-502 condenser cooling valve, cw dt low seen during condenser fouling. Foud air leak; positioner supply drop. flushed impulse/sample line. ops says ok for now. notif made by ops, maint attended same shift.</x:v>
      </x:c>
    </x:row>
    <x:row r="580" ht="15" hidden="0" customHeight="1">
      <x:c r="A580" t="str">
        <x:v>10450579</x:v>
      </x:c>
      <x:c r="B580" t="str">
        <x:v>40870579</x:v>
      </x:c>
      <x:c r="C580" t="str">
        <x:v>2023-09-23</x:v>
      </x:c>
      <x:c r="D580" t="str">
        <x:v>2023-09-23</x:v>
      </x:c>
      <x:c r="E580" t="str">
        <x:v>2023-09-25</x:v>
      </x:c>
      <x:c r="F580" t="str">
        <x:v>U400-DEETHANIZER-500</x:v>
      </x:c>
      <x:c r="G580" t="str">
        <x:v>E-502</x:v>
      </x:c>
      <x:c r="H580" t="str">
        <x:v>deethanizer overhead condenser</x:v>
      </x:c>
      <x:c r="I580" t="str">
        <x:v>condenser</x:v>
      </x:c>
      <x:c r="J580" t="str">
        <x:v>P2</x:v>
      </x:c>
      <x:c r="K580" t="str">
        <x:v>COMP</x:v>
      </x:c>
      <x:c r="L580" t="str">
        <x:v>E&amp;I</x:v>
      </x:c>
      <x:c r="M580" t="str">
        <x:v>feed_temperature_ramp</x:v>
      </x:c>
      <x:c r="N580" t="str">
        <x:v>high press</x:v>
      </x:c>
      <x:c r="O580" t="str">
        <x:v>PERF</x:v>
      </x:c>
      <x:c r="P580" t="str">
        <x:v>FOUL</x:v>
      </x:c>
      <x:c r="Q580" t="str">
        <x:v>Y</x:v>
      </x:c>
      <x:c r="R580" t="str">
        <x:v>13.3</x:v>
      </x:c>
      <x:c r="S580" t="str">
        <x:v>16552.19</x:v>
      </x:c>
      <x:c r="T580" t="str">
        <x:v>E-502 ovhd press moving, high press</x:v>
      </x:c>
      <x:c r="U580" t="str">
        <x:v>B shift called for E-502 deethanizer overhead condenser, rb duty up seen during feed temperature ramp. Foud high press; condensing duty poor. reset trip and monitored for 2 hrs. readng close to dcs after job. notif made by ops, maint attended same shift.</x:v>
      </x:c>
    </x:row>
    <x:row r="581" ht="15" hidden="0" customHeight="1">
      <x:c r="A581" t="str">
        <x:v>10450580</x:v>
      </x:c>
      <x:c r="B581" t="str">
        <x:v>40870580</x:v>
      </x:c>
      <x:c r="C581" t="str">
        <x:v>2023-09-25</x:v>
      </x:c>
      <x:c r="D581" t="str">
        <x:v>2023-09-25</x:v>
      </x:c>
      <x:c r="E581" t="str">
        <x:v>2023-09-25</x:v>
      </x:c>
      <x:c r="F581" t="str">
        <x:v>U400-DEETHANIZER-500</x:v>
      </x:c>
      <x:c r="G581" t="str">
        <x:v>FV-502</x:v>
      </x:c>
      <x:c r="H581" t="str">
        <x:v>reflux flow control valve</x:v>
      </x:c>
      <x:c r="I581" t="str">
        <x:v>control_valve</x:v>
      </x:c>
      <x:c r="J581" t="str">
        <x:v>P3</x:v>
      </x:c>
      <x:c r="K581" t="str">
        <x:v>COMP</x:v>
      </x:c>
      <x:c r="L581" t="str">
        <x:v>ROT</x:v>
      </x:c>
      <x:c r="M581" t="str">
        <x:v>reflux_pump_degradation</x:v>
      </x:c>
      <x:c r="N581" t="str">
        <x:v>hunting loop</x:v>
      </x:c>
      <x:c r="O581" t="str">
        <x:v>CTRL_OSC</x:v>
      </x:c>
      <x:c r="P581" t="str">
        <x:v>TUNE</x:v>
      </x:c>
      <x:c r="Q581" t="str">
        <x:v>N</x:v>
      </x:c>
      <x:c r="R581" t="str">
        <x:v>4.8</x:v>
      </x:c>
      <x:c r="S581" t="str">
        <x:v>6383.88</x:v>
      </x:c>
      <x:c r="T581" t="str">
        <x:v>FV-502 not ok after rflx pump degradation</x:v>
      </x:c>
      <x:c r="U581" t="str">
        <x:v>days called for FV-502 reflux flow control valve, pump vib seen during reflux pump degradation. Foud hunting loop; bad response after upset. calibrated, loop checked with CCR. need watch next feed swing. notif made by ops, maint attended same shift.</x:v>
      </x:c>
    </x:row>
    <x:row r="582" ht="15" hidden="0" customHeight="1">
      <x:c r="A582" t="str">
        <x:v>10450581</x:v>
      </x:c>
      <x:c r="B582" t="str">
        <x:v>40870581</x:v>
      </x:c>
      <x:c r="C582" t="str">
        <x:v>2023-09-30</x:v>
      </x:c>
      <x:c r="D582" t="str">
        <x:v>2023-09-30</x:v>
      </x:c>
      <x:c r="E582" t="str">
        <x:v>2023-10-02</x:v>
      </x:c>
      <x:c r="F582" t="str">
        <x:v>U400-DEETHANIZER-500</x:v>
      </x:c>
      <x:c r="G582" t="str">
        <x:v>TV-502</x:v>
      </x:c>
      <x:c r="H582" t="str">
        <x:v>condenser cooling valve</x:v>
      </x:c>
      <x:c r="I582" t="str">
        <x:v>control_valve</x:v>
      </x:c>
      <x:c r="J582" t="str">
        <x:v>P1</x:v>
      </x:c>
      <x:c r="K582" t="str">
        <x:v>COMP</x:v>
      </x:c>
      <x:c r="L582" t="str">
        <x:v>OPS+MECH</x:v>
      </x:c>
      <x:c r="M582" t="str">
        <x:v>valve_stiction</x:v>
      </x:c>
      <x:c r="N582" t="str">
        <x:v>stiction</x:v>
      </x:c>
      <x:c r="O582" t="str">
        <x:v>STICK</x:v>
      </x:c>
      <x:c r="P582" t="str">
        <x:v>PACKING</x:v>
      </x:c>
      <x:c r="Q582" t="str">
        <x:v>N</x:v>
      </x:c>
      <x:c r="R582" t="str">
        <x:v>7.2</x:v>
      </x:c>
      <x:c r="S582" t="str">
        <x:v>482.98</x:v>
      </x:c>
      <x:c r="T582" t="str">
        <x:v>TV-502 stiction temp fix</x:v>
      </x:c>
      <x:c r="U582" t="str">
        <x:v>B shift called for TV-502 condnsr cooling vavle, air leak seen during vavle stiction. Foud stiction; stem sticky and pos err. Could not get permit first time waiting area gas test. replaced positioner tubing and retuned small. readng close to dcs after job. notif made by ops, maint attended same shift.</x:v>
      </x:c>
    </x:row>
    <x:row r="583" ht="15" hidden="0" customHeight="1">
      <x:c r="A583" t="str">
        <x:v>10450582</x:v>
      </x:c>
      <x:c r="B583" t="str">
        <x:v>40870582</x:v>
      </x:c>
      <x:c r="C583" t="str">
        <x:v>2023-10-01</x:v>
      </x:c>
      <x:c r="D583" t="str">
        <x:v>2023-10-03</x:v>
      </x:c>
      <x:c r="E583" t="str">
        <x:v>2023-10-05</x:v>
      </x:c>
      <x:c r="F583" t="str">
        <x:v>U400-DEETHANIZER-500</x:v>
      </x:c>
      <x:c r="G583" t="str">
        <x:v>TV-502</x:v>
      </x:c>
      <x:c r="H583" t="str">
        <x:v>condenser cooling valve</x:v>
      </x:c>
      <x:c r="I583" t="str">
        <x:v>control_valve</x:v>
      </x:c>
      <x:c r="J583" t="str">
        <x:v>P2</x:v>
      </x:c>
      <x:c r="K583" t="str">
        <x:v>TECO</x:v>
      </x:c>
      <x:c r="L583" t="str">
        <x:v>ANLYZR</x:v>
      </x:c>
      <x:c r="M583" t="str">
        <x:v>condenser_fouling</x:v>
      </x:c>
      <x:c r="N583" t="str">
        <x:v>hunting loop</x:v>
      </x:c>
      <x:c r="O583" t="str">
        <x:v>CTRL_OSC</x:v>
      </x:c>
      <x:c r="P583" t="str">
        <x:v>TUNE</x:v>
      </x:c>
      <x:c r="Q583" t="str">
        <x:v>N</x:v>
      </x:c>
      <x:c r="R583" t="str">
        <x:v>6.0</x:v>
      </x:c>
      <x:c r="S583" t="str">
        <x:v>5019.2</x:v>
      </x:c>
      <x:c r="T583" t="str">
        <x:v>chk TV-502 - hunting loop frm ops</x:v>
      </x:c>
      <x:c r="U583" t="str">
        <x:v>C shift called for TV-502 condnsr cooling valve, cond not pullng seen during condnsr fouling. Foud hunting loop; bad response after upset. replaced positioner tubing and retuned small. ops says ok for now. notif made by ops, maint attended same shift.</x:v>
      </x:c>
    </x:row>
    <x:row r="584" ht="15" hidden="0" customHeight="1">
      <x:c r="A584" t="str">
        <x:v>10450583</x:v>
      </x:c>
      <x:c r="B584" t="str">
        <x:v>40870583</x:v>
      </x:c>
      <x:c r="C584" t="str">
        <x:v>2023-09-30</x:v>
      </x:c>
      <x:c r="D584" t="str">
        <x:v>2023-09-30</x:v>
      </x:c>
      <x:c r="E584" t="str">
        <x:v>2023-10-02</x:v>
      </x:c>
      <x:c r="F584" t="str">
        <x:v>U400-DEETHANIZER-500</x:v>
      </x:c>
      <x:c r="G584" t="str">
        <x:v>PSV-501B</x:v>
      </x:c>
      <x:c r="H584" t="str">
        <x:v>column relief valve B</x:v>
      </x:c>
      <x:c r="I584" t="str">
        <x:v>relief</x:v>
      </x:c>
      <x:c r="J584" t="str">
        <x:v>P3</x:v>
      </x:c>
      <x:c r="K584" t="str">
        <x:v>CLSD</x:v>
      </x:c>
      <x:c r="L584" t="str">
        <x:v>MECH</x:v>
      </x:c>
      <x:c r="M584" t="str">
        <x:v>pressure_control_fault</x:v>
      </x:c>
      <x:c r="N584" t="str">
        <x:v>due to lift chk</x:v>
      </x:c>
      <x:c r="O584" t="str">
        <x:v>LIFT_EVENT</x:v>
      </x:c>
      <x:c r="P584" t="str">
        <x:v>PROCESS</x:v>
      </x:c>
      <x:c r="Q584" t="str">
        <x:v>N</x:v>
      </x:c>
      <x:c r="R584" t="str">
        <x:v>7.0</x:v>
      </x:c>
      <x:c r="S584" t="str">
        <x:v>1608.23</x:v>
      </x:c>
      <x:c r="T584" t="str">
        <x:v>PSV-501B pshh close call, due to lift chk</x:v>
      </x:c>
      <x:c r="U584" t="str">
        <x:v>A shift called for PSV-501B column relief valve B, flare valve checked seen during pressure control fault. Foud due to lift chk; after pressure excursion. No spare in store at first, used refurb one from shop. opened strainer, cleaned black sludge. no leak at handover. notif made by ops, maint attended same shift.</x:v>
      </x:c>
    </x:row>
    <x:row r="585" ht="15" hidden="0" customHeight="1">
      <x:c r="A585" t="str">
        <x:v>10450584</x:v>
      </x:c>
      <x:c r="B585" t="str">
        <x:v>40870584</x:v>
      </x:c>
      <x:c r="C585" t="str">
        <x:v>2023-10-04</x:v>
      </x:c>
      <x:c r="D585" t="str">
        <x:v>2023-10-05</x:v>
      </x:c>
      <x:c r="E585" t="str">
        <x:v>2023-10-07</x:v>
      </x:c>
      <x:c r="F585" t="str">
        <x:v>U400-DEETHANIZER-500</x:v>
      </x:c>
      <x:c r="G585" t="str">
        <x:v>E-503</x:v>
      </x:c>
      <x:c r="H585" t="str">
        <x:v>feed bottoms exchanger</x:v>
      </x:c>
      <x:c r="I585" t="str">
        <x:v>exchanger</x:v>
      </x:c>
      <x:c r="J585" t="str">
        <x:v>P3</x:v>
      </x:c>
      <x:c r="K585" t="str">
        <x:v>COMP</x:v>
      </x:c>
      <x:c r="L585" t="str">
        <x:v>ROT</x:v>
      </x:c>
      <x:c r="M585" t="str">
        <x:v>feed_flow_step</x:v>
      </x:c>
      <x:c r="N585" t="str">
        <x:v>tube fouling</x:v>
      </x:c>
      <x:c r="O585" t="str">
        <x:v>FOULING</x:v>
      </x:c>
      <x:c r="P585" t="str">
        <x:v>PROCESS</x:v>
      </x:c>
      <x:c r="Q585" t="str">
        <x:v>N</x:v>
      </x:c>
      <x:c r="R585" t="str">
        <x:v>11.3</x:v>
      </x:c>
      <x:c r="S585" t="str">
        <x:v>1155.85</x:v>
      </x:c>
      <x:c r="T585" t="str">
        <x:v>E-503 lvl swing, tube fouling</x:v>
      </x:c>
      <x:c r="U585" t="str">
        <x:v>days called for E-503 feed bottoms exchanger, column dp high seen during feed flow step. Foud tube fouling; duty low, delta t poor. tightened fittings, leak test ok. readng close to dcs after job. notif made by ops, maint attended same shift.</x:v>
      </x:c>
    </x:row>
    <x:row r="586" ht="15" hidden="0" customHeight="1">
      <x:c r="A586" t="str">
        <x:v>10450585</x:v>
      </x:c>
      <x:c r="B586" t="str">
        <x:v>40870585</x:v>
      </x:c>
      <x:c r="C586" t="str">
        <x:v>2023-10-05</x:v>
      </x:c>
      <x:c r="D586" t="str">
        <x:v>2023-10-05</x:v>
      </x:c>
      <x:c r="E586" t="str">
        <x:v>2023-10-06</x:v>
      </x:c>
      <x:c r="F586" t="str">
        <x:v>U400-DEETHANIZER-500</x:v>
      </x:c>
      <x:c r="G586" t="str">
        <x:v>V-501</x:v>
      </x:c>
      <x:c r="H586" t="str">
        <x:v>deethanizer reflux drum</x:v>
      </x:c>
      <x:c r="I586" t="str">
        <x:v>vessel</x:v>
      </x:c>
      <x:c r="J586" t="str">
        <x:v>P3</x:v>
      </x:c>
      <x:c r="K586" t="str">
        <x:v>TECO</x:v>
      </x:c>
      <x:c r="L586" t="str">
        <x:v>OPS+INST</x:v>
      </x:c>
      <x:c r="M586" t="str">
        <x:v>reboiler_duty_loss</x:v>
      </x:c>
      <x:c r="N586" t="str">
        <x:v>boot drain leak</x:v>
      </x:c>
      <x:c r="O586" t="str">
        <x:v>LEAK</x:v>
      </x:c>
      <x:c r="P586" t="str">
        <x:v>VALVE</x:v>
      </x:c>
      <x:c r="Q586" t="str">
        <x:v>N</x:v>
      </x:c>
      <x:c r="R586" t="str">
        <x:v>6.3</x:v>
      </x:c>
      <x:c r="S586" t="str">
        <x:v>1297.88</x:v>
      </x:c>
      <x:c r="T586" t="str">
        <x:v>V-501 not ok after reboiler duty loss</x:v>
      </x:c>
      <x:c r="U586" t="str">
        <x:v>night called for V-501 deethanizer reflux drum, tray temp low seen during reboiler duty loss. Foud boot drain leak; closed drain valve passing. Tag plate dirty, confirmd by line up with panel. flushed impulse/sample line. temp repair only, plan shutdown job. notif made by ops, maint attended same shift.</x:v>
      </x:c>
    </x:row>
    <x:row r="587" ht="15" hidden="0" customHeight="1">
      <x:c r="A587" t="str">
        <x:v>10450586</x:v>
      </x:c>
      <x:c r="B587" t="str">
        <x:v>40870586</x:v>
      </x:c>
      <x:c r="C587" t="str">
        <x:v>2023-10-08</x:v>
      </x:c>
      <x:c r="D587" t="str">
        <x:v>2023-10-10</x:v>
      </x:c>
      <x:c r="E587" t="str">
        <x:v>2023-10-12</x:v>
      </x:c>
      <x:c r="F587" t="str">
        <x:v>U400-DEETHANIZER-500</x:v>
      </x:c>
      <x:c r="G587" t="str">
        <x:v>AIT-501</x:v>
      </x:c>
      <x:c r="H587" t="str">
        <x:v>overhead C2 analyzer</x:v>
      </x:c>
      <x:c r="I587" t="str">
        <x:v>analyzer</x:v>
      </x:c>
      <x:c r="J587" t="str">
        <x:v>P1</x:v>
      </x:c>
      <x:c r="K587" t="str">
        <x:v>COMP</x:v>
      </x:c>
      <x:c r="L587" t="str">
        <x:v>INST</x:v>
      </x:c>
      <x:c r="M587" t="str">
        <x:v>feed_composition_shift</x:v>
      </x:c>
      <x:c r="N587" t="str">
        <x:v>bad gc cycle</x:v>
      </x:c>
      <x:c r="O587" t="str">
        <x:v>NO_ANALYSIS</x:v>
      </x:c>
      <x:c r="P587" t="str">
        <x:v>ELEC</x:v>
      </x:c>
      <x:c r="Q587" t="str">
        <x:v>N</x:v>
      </x:c>
      <x:c r="R587" t="str">
        <x:v>9.3</x:v>
      </x:c>
      <x:c r="S587" t="str">
        <x:v>1557.86</x:v>
      </x:c>
      <x:c r="T587" t="str">
        <x:v>AIT-501 bad gc cycle again, prod upset</x:v>
      </x:c>
      <x:c r="U587" t="str">
        <x:v>C shift called for AIT-501 overhead C2 analyzer, ovhd c3 slip seen during feed composition shift. Foud bad gc cycle; cycle abort. History shows same complain last mnth. stroke tested, response better. temp repair only, plan shutdown job. notif made by ops, maint attended same shift.</x:v>
      </x:c>
    </x:row>
    <x:row r="588" ht="15" hidden="0" customHeight="1">
      <x:c r="A588" t="str">
        <x:v>10450587</x:v>
      </x:c>
      <x:c r="B588" t="str">
        <x:v>40870587</x:v>
      </x:c>
      <x:c r="C588" t="str">
        <x:v>2023-10-06</x:v>
      </x:c>
      <x:c r="D588" t="str">
        <x:v>2023-10-07</x:v>
      </x:c>
      <x:c r="E588" t="str">
        <x:v>2023-10-09</x:v>
      </x:c>
      <x:c r="F588" t="str">
        <x:v>U400-DEETHANIZER-500</x:v>
      </x:c>
      <x:c r="G588" t="str">
        <x:v>P-501B</x:v>
      </x:c>
      <x:c r="H588" t="str">
        <x:v>reflux pump B</x:v>
      </x:c>
      <x:c r="I588" t="str">
        <x:v>pump</x:v>
      </x:c>
      <x:c r="J588" t="str">
        <x:v>P3</x:v>
      </x:c>
      <x:c r="K588" t="str">
        <x:v>COMP</x:v>
      </x:c>
      <x:c r="L588" t="str">
        <x:v>OPS+INST</x:v>
      </x:c>
      <x:c r="M588" t="str">
        <x:v>feed_composition_shift</x:v>
      </x:c>
      <x:c r="N588" t="str">
        <x:v>bearing hot</x:v>
      </x:c>
      <x:c r="O588" t="str">
        <x:v>BRG</x:v>
      </x:c>
      <x:c r="P588" t="str">
        <x:v>WEAR</x:v>
      </x:c>
      <x:c r="Q588" t="str">
        <x:v>N</x:v>
      </x:c>
      <x:c r="R588" t="str">
        <x:v>11.6</x:v>
      </x:c>
      <x:c r="S588" t="str">
        <x:v>14468.77</x:v>
      </x:c>
      <x:c r="T588" t="str">
        <x:v>P-501B bearing hot again, prod upset</x:v>
      </x:c>
      <x:c r="U588" t="str">
        <x:v>A shift called for P-501B rflx pump B, quality bad seen during feed composition shift. Foud bearing hot; brg rough, lube dark. History shows same complain last mnth. stroke tested, response better. no leak at handover. notif made by ops, maint attended same shift.</x:v>
      </x:c>
    </x:row>
    <x:row r="589" ht="15" hidden="0" customHeight="1">
      <x:c r="A589" t="str">
        <x:v>10450588</x:v>
      </x:c>
      <x:c r="B589" t="str">
        <x:v>40870588</x:v>
      </x:c>
      <x:c r="C589" t="str">
        <x:v>2023-10-07</x:v>
      </x:c>
      <x:c r="D589" t="str">
        <x:v>2023-10-09</x:v>
      </x:c>
      <x:c r="E589" t="str">
        <x:v>2023-10-09</x:v>
      </x:c>
      <x:c r="F589" t="str">
        <x:v>U400-DEETHANIZER-500</x:v>
      </x:c>
      <x:c r="G589" t="str">
        <x:v>TT-503</x:v>
      </x:c>
      <x:c r="H589" t="str">
        <x:v>reboiler outlet temperature tx</x:v>
      </x:c>
      <x:c r="I589" t="str">
        <x:v>instrument</x:v>
      </x:c>
      <x:c r="J589" t="str">
        <x:v>P3</x:v>
      </x:c>
      <x:c r="K589" t="str">
        <x:v>COMP</x:v>
      </x:c>
      <x:c r="L589" t="str">
        <x:v>ANLYZR</x:v>
      </x:c>
      <x:c r="M589" t="str">
        <x:v>reboiler_duty_loss</x:v>
      </x:c>
      <x:c r="N589" t="str">
        <x:v>loose wire</x:v>
      </x:c>
      <x:c r="O589" t="str">
        <x:v>SIGNAL</x:v>
      </x:c>
      <x:c r="P589" t="str">
        <x:v>ELEC</x:v>
      </x:c>
      <x:c r="Q589" t="str">
        <x:v>N</x:v>
      </x:c>
      <x:c r="R589" t="str">
        <x:v>6.9</x:v>
      </x:c>
      <x:c r="S589" t="str">
        <x:v>2546.8</x:v>
      </x:c>
      <x:c r="T589" t="str">
        <x:v>TT-503 not ok after reboiler duty loss</x:v>
      </x:c>
      <x:c r="U589" t="str">
        <x:v>night called for TT-503 reboiler outlet temp tx, tray temp low seen during reboiler duty loss. Foud loose wire; term loose. History shows same complain last mnth. tightened fittings, leak test ok. unit stable now. notif made by ops, maint attended same shift.</x:v>
      </x:c>
    </x:row>
    <x:row r="590" ht="15" hidden="0" customHeight="1">
      <x:c r="A590" t="str">
        <x:v>10450589</x:v>
      </x:c>
      <x:c r="B590" t="str">
        <x:v>40870589</x:v>
      </x:c>
      <x:c r="C590" t="str">
        <x:v>2023-10-09</x:v>
      </x:c>
      <x:c r="D590" t="str">
        <x:v>2023-10-09</x:v>
      </x:c>
      <x:c r="E590" t="str">
        <x:v>2023-10-11</x:v>
      </x:c>
      <x:c r="F590" t="str">
        <x:v>U400-DEETHANIZER-500</x:v>
      </x:c>
      <x:c r="G590" t="str">
        <x:v>FT-501</x:v>
      </x:c>
      <x:c r="H590" t="str">
        <x:v>feed flow transmitter</x:v>
      </x:c>
      <x:c r="I590" t="str">
        <x:v>instrument</x:v>
      </x:c>
      <x:c r="J590" t="str">
        <x:v>P3</x:v>
      </x:c>
      <x:c r="K590" t="str">
        <x:v>CLSD</x:v>
      </x:c>
      <x:c r="L590" t="str">
        <x:v>OPS+INST</x:v>
      </x:c>
      <x:c r="M590" t="str">
        <x:v>feed_flow_step</x:v>
      </x:c>
      <x:c r="N590" t="str">
        <x:v>bad reading</x:v>
      </x:c>
      <x:c r="O590" t="str">
        <x:v>DRIFT</x:v>
      </x:c>
      <x:c r="P590" t="str">
        <x:v>CAL</x:v>
      </x:c>
      <x:c r="Q590" t="str">
        <x:v>N</x:v>
      </x:c>
      <x:c r="R590" t="str">
        <x:v>3.5</x:v>
      </x:c>
      <x:c r="S590" t="str">
        <x:v>4485.1</x:v>
      </x:c>
      <x:c r="T590" t="str">
        <x:v>FT-501 not ok after feed flow step</x:v>
      </x:c>
      <x:c r="U590" t="str">
        <x:v>B shift called for FT-501 feed flow transmitter, column dp high seen during feed flow step. Foud bad reading; needs calib. Line was hot so job done slow and with ops standing by. tightened fittings, leak test ok. readng close to dcs after job. notif made by ops, maint attended same shift.</x:v>
      </x:c>
    </x:row>
    <x:row r="591" ht="15" hidden="0" customHeight="1">
      <x:c r="A591" t="str">
        <x:v>10450590</x:v>
      </x:c>
      <x:c r="B591" t="str">
        <x:v>40870590</x:v>
      </x:c>
      <x:c r="C591" t="str">
        <x:v>2023-10-13</x:v>
      </x:c>
      <x:c r="D591" t="str">
        <x:v>2023-10-15</x:v>
      </x:c>
      <x:c r="E591" t="str">
        <x:v>2023-10-15</x:v>
      </x:c>
      <x:c r="F591" t="str">
        <x:v>U400-DEETHANIZER-500</x:v>
      </x:c>
      <x:c r="G591" t="str">
        <x:v>TT-503</x:v>
      </x:c>
      <x:c r="H591" t="str">
        <x:v>reboiler outlet temperature tx</x:v>
      </x:c>
      <x:c r="I591" t="str">
        <x:v>instrument</x:v>
      </x:c>
      <x:c r="J591" t="str">
        <x:v>P4</x:v>
      </x:c>
      <x:c r="K591" t="str">
        <x:v>CLSD</x:v>
      </x:c>
      <x:c r="L591" t="str">
        <x:v>OPS+INST</x:v>
      </x:c>
      <x:c r="M591" t="str">
        <x:v>reboiler_duty_loss</x:v>
      </x:c>
      <x:c r="N591" t="str">
        <x:v>loose wire</x:v>
      </x:c>
      <x:c r="O591" t="str">
        <x:v>SIGNAL</x:v>
      </x:c>
      <x:c r="P591" t="str">
        <x:v>ELEC</x:v>
      </x:c>
      <x:c r="Q591" t="str">
        <x:v>N</x:v>
      </x:c>
      <x:c r="R591" t="str">
        <x:v>2.5</x:v>
      </x:c>
      <x:c r="S591" t="str">
        <x:v>3259.43</x:v>
      </x:c>
      <x:c r="T591" t="str">
        <x:v>chk TT-503 - loose wire frm ops</x:v>
      </x:c>
      <x:c r="U591" t="str">
        <x:v>days called for TT-503 rebiler outlet temperature tx, c2 in btm seen during rebiler duty loss. Foud loose wire; term loose. opened strainer, cleaned black sludge. no leak at handover. notif made by ops, maint attended same shift.</x:v>
      </x:c>
    </x:row>
    <x:row r="592" ht="15" hidden="0" customHeight="1">
      <x:c r="A592" t="str">
        <x:v>10450591</x:v>
      </x:c>
      <x:c r="B592" t="str">
        <x:v>40870591</x:v>
      </x:c>
      <x:c r="C592" t="str">
        <x:v>2023-10-12</x:v>
      </x:c>
      <x:c r="D592" t="str">
        <x:v>2023-10-14</x:v>
      </x:c>
      <x:c r="E592" t="str">
        <x:v>2023-10-16</x:v>
      </x:c>
      <x:c r="F592" t="str">
        <x:v>U400-DEETHANIZER-500</x:v>
      </x:c>
      <x:c r="G592" t="str">
        <x:v>TT-501B</x:v>
      </x:c>
      <x:c r="H592" t="str">
        <x:v>sensitive tray temperature tx</x:v>
      </x:c>
      <x:c r="I592" t="str">
        <x:v>instrument</x:v>
      </x:c>
      <x:c r="J592" t="str">
        <x:v>P3</x:v>
      </x:c>
      <x:c r="K592" t="str">
        <x:v>CLSD</x:v>
      </x:c>
      <x:c r="L592" t="str">
        <x:v>OPS+INST</x:v>
      </x:c>
      <x:c r="M592" t="str">
        <x:v>reboiler_duty_loss</x:v>
      </x:c>
      <x:c r="N592" t="str">
        <x:v>no signal</x:v>
      </x:c>
      <x:c r="O592" t="str">
        <x:v>NO_SIGNAL</x:v>
      </x:c>
      <x:c r="P592" t="str">
        <x:v>ELEC</x:v>
      </x:c>
      <x:c r="Q592" t="str">
        <x:v>N</x:v>
      </x:c>
      <x:c r="R592" t="str">
        <x:v>2.1</x:v>
      </x:c>
      <x:c r="S592" t="str">
        <x:v>6482.99</x:v>
      </x:c>
      <x:c r="T592" t="str">
        <x:v>TT-501B no signal bad</x:v>
      </x:c>
      <x:c r="U592" t="str">
        <x:v>B shift called for TT-501B sensitive tray temperature tx, c2 in btm seen during reboiler duty loss. Foud no signal; 24v or card issue. Tag plate dirty, confirmd by line up with panel. tightened fittings, leak test ok. no leak at handover. notif made by ops, maint attended same shift.</x:v>
      </x:c>
    </x:row>
    <x:row r="593" ht="15" hidden="0" customHeight="1">
      <x:c r="A593" t="str">
        <x:v>10450592</x:v>
      </x:c>
      <x:c r="B593" t="str">
        <x:v>40870592</x:v>
      </x:c>
      <x:c r="C593" t="str">
        <x:v>2023-10-14</x:v>
      </x:c>
      <x:c r="D593" t="str">
        <x:v>2023-10-14</x:v>
      </x:c>
      <x:c r="E593" t="str">
        <x:v>2023-10-15</x:v>
      </x:c>
      <x:c r="F593" t="str">
        <x:v>U400-DEETHANIZER-500</x:v>
      </x:c>
      <x:c r="G593" t="str">
        <x:v>FT-501</x:v>
      </x:c>
      <x:c r="H593" t="str">
        <x:v>feed flow transmitter</x:v>
      </x:c>
      <x:c r="I593" t="str">
        <x:v>instrument</x:v>
      </x:c>
      <x:c r="J593" t="str">
        <x:v>P4</x:v>
      </x:c>
      <x:c r="K593" t="str">
        <x:v>CLSD</x:v>
      </x:c>
      <x:c r="L593" t="str">
        <x:v>OPS+INST</x:v>
      </x:c>
      <x:c r="M593" t="str">
        <x:v>feed_flow_step</x:v>
      </x:c>
      <x:c r="N593" t="str">
        <x:v>impulse plugged</x:v>
      </x:c>
      <x:c r="O593" t="str">
        <x:v>PLUG</x:v>
      </x:c>
      <x:c r="P593" t="str">
        <x:v>PROCESS</x:v>
      </x:c>
      <x:c r="Q593" t="str">
        <x:v>N</x:v>
      </x:c>
      <x:c r="R593" t="str">
        <x:v>7.8</x:v>
      </x:c>
      <x:c r="S593" t="str">
        <x:v>1906.2</x:v>
      </x:c>
      <x:c r="T593" t="str">
        <x:v>FT-501 not ok after feed flow step</x:v>
      </x:c>
      <x:c r="U593" t="str">
        <x:v>B shift called for FT-501 feed flow transmitter, colmn dp high seen during feed flow step. Foud impulse plugged; tap/line dirty. Tag plate dirty, confirmd by line up with panel. changed gasket and boxed up. ops says ok for now. notif made by ops, maint attended same shift.</x:v>
      </x:c>
    </x:row>
    <x:row r="594" ht="15" hidden="0" customHeight="1">
      <x:c r="A594" t="str">
        <x:v>10450593</x:v>
      </x:c>
      <x:c r="B594" t="str">
        <x:v>40870593</x:v>
      </x:c>
      <x:c r="C594" t="str">
        <x:v>2023-10-15</x:v>
      </x:c>
      <x:c r="D594" t="str">
        <x:v>2023-10-16</x:v>
      </x:c>
      <x:c r="E594" t="str">
        <x:v>2023-10-17</x:v>
      </x:c>
      <x:c r="F594" t="str">
        <x:v>U400-DEETHANIZER-500</x:v>
      </x:c>
      <x:c r="G594" t="str">
        <x:v>TT-501B</x:v>
      </x:c>
      <x:c r="H594" t="str">
        <x:v>sensitive tray temperature tx</x:v>
      </x:c>
      <x:c r="I594" t="str">
        <x:v>instrument</x:v>
      </x:c>
      <x:c r="J594" t="str">
        <x:v>P3</x:v>
      </x:c>
      <x:c r="K594" t="str">
        <x:v>TECO</x:v>
      </x:c>
      <x:c r="L594" t="str">
        <x:v>ANLYZR</x:v>
      </x:c>
      <x:c r="M594" t="str">
        <x:v>feed_temperature_ramp</x:v>
      </x:c>
      <x:c r="N594" t="str">
        <x:v>no signal</x:v>
      </x:c>
      <x:c r="O594" t="str">
        <x:v>NO_SIGNAL</x:v>
      </x:c>
      <x:c r="P594" t="str">
        <x:v>ELEC</x:v>
      </x:c>
      <x:c r="Q594" t="str">
        <x:v>N</x:v>
      </x:c>
      <x:c r="R594" t="str">
        <x:v>6.9</x:v>
      </x:c>
      <x:c r="S594" t="str">
        <x:v>6351.86</x:v>
      </x:c>
      <x:c r="T594" t="str">
        <x:v>chk TT-501B - no signal frm ops</x:v>
      </x:c>
      <x:c r="U594" t="str">
        <x:v>A shift called for TT-501B sensitive tray temperature tx, rb duty up seen during feed temperature ramp. Foud no signal; 24v or card issue. swapped to standby and repaired. ops says ok for now. notif made by ops, maint attended same shift.</x:v>
      </x:c>
    </x:row>
    <x:row r="595" ht="15" hidden="0" customHeight="1">
      <x:c r="A595" t="str">
        <x:v>10450594</x:v>
      </x:c>
      <x:c r="B595" t="str">
        <x:v>40870594</x:v>
      </x:c>
      <x:c r="C595" t="str">
        <x:v>2023-10-18</x:v>
      </x:c>
      <x:c r="D595" t="str">
        <x:v>2023-10-20</x:v>
      </x:c>
      <x:c r="E595" t="str">
        <x:v>2023-10-23</x:v>
      </x:c>
      <x:c r="F595" t="str">
        <x:v>U400-DEETHANIZER-500</x:v>
      </x:c>
      <x:c r="G595" t="str">
        <x:v>FT-501</x:v>
      </x:c>
      <x:c r="H595" t="str">
        <x:v>feed flow transmitter</x:v>
      </x:c>
      <x:c r="I595" t="str">
        <x:v>instrument</x:v>
      </x:c>
      <x:c r="J595" t="str">
        <x:v>P3</x:v>
      </x:c>
      <x:c r="K595" t="str">
        <x:v>COMP</x:v>
      </x:c>
      <x:c r="L595" t="str">
        <x:v>E&amp;I</x:v>
      </x:c>
      <x:c r="M595" t="str">
        <x:v>feed_flow_step</x:v>
      </x:c>
      <x:c r="N595" t="str">
        <x:v>impulse plugged</x:v>
      </x:c>
      <x:c r="O595" t="str">
        <x:v>PLUG</x:v>
      </x:c>
      <x:c r="P595" t="str">
        <x:v>PROCESS</x:v>
      </x:c>
      <x:c r="Q595" t="str">
        <x:v>N</x:v>
      </x:c>
      <x:c r="R595" t="str">
        <x:v>9.3</x:v>
      </x:c>
      <x:c r="S595" t="str">
        <x:v>399.41</x:v>
      </x:c>
      <x:c r="T595" t="str">
        <x:v>FT-501 impulse plugged again, prod upset</x:v>
      </x:c>
      <x:c r="U595" t="str">
        <x:v>A shift called for FT-501 feed flow transmitter, lvl swing seen during feed flow step. Foud impulse plugged; tap/line dirty. replaced positioner tubing and retuned small. no leak at handover. notif made by ops, maint attended same shift.</x:v>
      </x:c>
    </x:row>
    <x:row r="596" ht="15" hidden="0" customHeight="1">
      <x:c r="A596" t="str">
        <x:v>10450595</x:v>
      </x:c>
      <x:c r="B596" t="str">
        <x:v>40870595</x:v>
      </x:c>
      <x:c r="C596" t="str">
        <x:v>2023-10-17</x:v>
      </x:c>
      <x:c r="D596" t="str">
        <x:v>2023-10-18</x:v>
      </x:c>
      <x:c r="E596" t="str">
        <x:v>2023-10-23</x:v>
      </x:c>
      <x:c r="F596" t="str">
        <x:v>U400-DEETHANIZER-500</x:v>
      </x:c>
      <x:c r="G596" t="str">
        <x:v>P-501A</x:v>
      </x:c>
      <x:c r="H596" t="str">
        <x:v>reflux pump A</x:v>
      </x:c>
      <x:c r="I596" t="str">
        <x:v>pump</x:v>
      </x:c>
      <x:c r="J596" t="str">
        <x:v>P2</x:v>
      </x:c>
      <x:c r="K596" t="str">
        <x:v>TECO</x:v>
      </x:c>
      <x:c r="L596" t="str">
        <x:v>OPS+MECH</x:v>
      </x:c>
      <x:c r="M596" t="str">
        <x:v>reflux_pump_degradation</x:v>
      </x:c>
      <x:c r="N596" t="str">
        <x:v>vib high</x:v>
      </x:c>
      <x:c r="O596" t="str">
        <x:v>VIB</x:v>
      </x:c>
      <x:c r="P596" t="str">
        <x:v>ALIGN</x:v>
      </x:c>
      <x:c r="Q596" t="str">
        <x:v>Y</x:v>
      </x:c>
      <x:c r="R596" t="str">
        <x:v>13.2</x:v>
      </x:c>
      <x:c r="S596" t="str">
        <x:v>14280.28</x:v>
      </x:c>
      <x:c r="T596" t="str">
        <x:v>P-501A vib high again, prod upset</x:v>
      </x:c>
      <x:c r="U596" t="str">
        <x:v>A shift called for P-501A rflx pump A, disch press low seen during rflx pump degradation. Foud vib high; coupling align or cavitation. Could not get permit first time waiting area gas test. changed gasket and boxed up. no leak at handover. notif made by ops, maint attended same shift.</x:v>
      </x:c>
    </x:row>
    <x:row r="597" ht="15" hidden="0" customHeight="1">
      <x:c r="A597" t="str">
        <x:v>10450596</x:v>
      </x:c>
      <x:c r="B597" t="str">
        <x:v>40870596</x:v>
      </x:c>
      <x:c r="C597" t="str">
        <x:v>2023-10-17</x:v>
      </x:c>
      <x:c r="D597" t="str">
        <x:v>2023-10-17</x:v>
      </x:c>
      <x:c r="E597" t="str">
        <x:v>2023-10-31</x:v>
      </x:c>
      <x:c r="F597" t="str">
        <x:v>U400-DEETHANIZER-500</x:v>
      </x:c>
      <x:c r="G597" t="str">
        <x:v>P-502A</x:v>
      </x:c>
      <x:c r="H597" t="str">
        <x:v>bottoms pump A</x:v>
      </x:c>
      <x:c r="I597" t="str">
        <x:v>pump</x:v>
      </x:c>
      <x:c r="J597" t="str">
        <x:v>P4</x:v>
      </x:c>
      <x:c r="K597" t="str">
        <x:v>COMP</x:v>
      </x:c>
      <x:c r="L597" t="str">
        <x:v>MECH</x:v>
      </x:c>
      <x:c r="M597" t="str">
        <x:v>normal_wear</x:v>
      </x:c>
      <x:c r="N597" t="str">
        <x:v>seal leak</x:v>
      </x:c>
      <x:c r="O597" t="str">
        <x:v>MECH_SEAL</x:v>
      </x:c>
      <x:c r="P597" t="str">
        <x:v>SEAL</x:v>
      </x:c>
      <x:c r="Q597" t="str">
        <x:v>N</x:v>
      </x:c>
      <x:c r="R597" t="str">
        <x:v>6.6</x:v>
      </x:c>
      <x:c r="S597" t="str">
        <x:v>10494.43</x:v>
      </x:c>
      <x:c r="T597" t="str">
        <x:v>P-502A not ok after normal wear</x:v>
      </x:c>
      <x:c r="U597" t="str">
        <x:v>B shift called for P-502A bottoms pump A, plugged impulse seen during normal wear. Foud seal leak; seal face worn / dry run signs. calibrated, loop chekd with CCR. readng close to dcs after job. notif made by ops, maint attended same shift.</x:v>
      </x:c>
    </x:row>
    <x:row r="598" ht="15" hidden="0" customHeight="1">
      <x:c r="A598" t="str">
        <x:v>10450597</x:v>
      </x:c>
      <x:c r="B598" t="str">
        <x:v>40870597</x:v>
      </x:c>
      <x:c r="C598" t="str">
        <x:v>2023-10-22</x:v>
      </x:c>
      <x:c r="D598" t="str">
        <x:v>2023-10-22</x:v>
      </x:c>
      <x:c r="E598" t="str">
        <x:v>2023-10-27</x:v>
      </x:c>
      <x:c r="F598" t="str">
        <x:v>U400-DEETHANIZER-500</x:v>
      </x:c>
      <x:c r="G598" t="str">
        <x:v>E-503</x:v>
      </x:c>
      <x:c r="H598" t="str">
        <x:v>feed bottoms exchanger</x:v>
      </x:c>
      <x:c r="I598" t="str">
        <x:v>exchanger</x:v>
      </x:c>
      <x:c r="J598" t="str">
        <x:v>P3</x:v>
      </x:c>
      <x:c r="K598" t="str">
        <x:v>COMP</x:v>
      </x:c>
      <x:c r="L598" t="str">
        <x:v>MECH</x:v>
      </x:c>
      <x:c r="M598" t="str">
        <x:v>pressure_control_fault</x:v>
      </x:c>
      <x:c r="N598" t="str">
        <x:v>gasket weep</x:v>
      </x:c>
      <x:c r="O598" t="str">
        <x:v>LEAK</x:v>
      </x:c>
      <x:c r="P598" t="str">
        <x:v>GASKET</x:v>
      </x:c>
      <x:c r="Q598" t="str">
        <x:v>N</x:v>
      </x:c>
      <x:c r="R598" t="str">
        <x:v>5.0</x:v>
      </x:c>
      <x:c r="S598" t="str">
        <x:v>15522.81</x:v>
      </x:c>
      <x:c r="T598" t="str">
        <x:v>E-503 gasket weep again, prod upset</x:v>
      </x:c>
      <x:c r="U598" t="str">
        <x:v>days called for E-503 feed bottoms exchanger, pv not movng seen during pressure ctrl fault. Foud gasket weep; flange sweating. cleaned and put back online. temp repair only, plan shutdown job. notif made by ops, maint attended same shift.</x:v>
      </x:c>
    </x:row>
    <x:row r="599" ht="15" hidden="0" customHeight="1">
      <x:c r="A599" t="str">
        <x:v>10450598</x:v>
      </x:c>
      <x:c r="B599" t="str">
        <x:v>40870598</x:v>
      </x:c>
      <x:c r="C599" t="str">
        <x:v>2023-10-23</x:v>
      </x:c>
      <x:c r="D599" t="str">
        <x:v>2023-10-25</x:v>
      </x:c>
      <x:c r="E599" t="str">
        <x:v>2023-10-26</x:v>
      </x:c>
      <x:c r="F599" t="str">
        <x:v>U400-DEETHANIZER-500</x:v>
      </x:c>
      <x:c r="G599" t="str">
        <x:v>TV-502</x:v>
      </x:c>
      <x:c r="H599" t="str">
        <x:v>condenser cooling valve</x:v>
      </x:c>
      <x:c r="I599" t="str">
        <x:v>control_valve</x:v>
      </x:c>
      <x:c r="J599" t="str">
        <x:v>P3</x:v>
      </x:c>
      <x:c r="K599" t="str">
        <x:v>COMP</x:v>
      </x:c>
      <x:c r="L599" t="str">
        <x:v>OPS+INST</x:v>
      </x:c>
      <x:c r="M599" t="str">
        <x:v>condenser_fouling</x:v>
      </x:c>
      <x:c r="N599" t="str">
        <x:v>air leak</x:v>
      </x:c>
      <x:c r="O599" t="str">
        <x:v>AIR_LEAK</x:v>
      </x:c>
      <x:c r="P599" t="str">
        <x:v>TUBING</x:v>
      </x:c>
      <x:c r="Q599" t="str">
        <x:v>N</x:v>
      </x:c>
      <x:c r="R599" t="str">
        <x:v>1.3</x:v>
      </x:c>
      <x:c r="S599" t="str">
        <x:v>1119.28</x:v>
      </x:c>
      <x:c r="T599" t="str">
        <x:v>TV-502 cw dt low, air leak</x:v>
      </x:c>
      <x:c r="U599" t="str">
        <x:v>days called for TV-502 condenser cooling valve, cw dt low seen during condenser fouling. Foud air leak; positioner supply drop. Tag plate dirty, confirmd by line up with panel. opened strainer, cleaned black sludge. need watch next feed swing. notif made by ops, maint attended same shift.</x:v>
      </x:c>
    </x:row>
    <x:row r="600" ht="15" hidden="0" customHeight="1">
      <x:c r="A600" t="str">
        <x:v>10450599</x:v>
      </x:c>
      <x:c r="B600" t="str">
        <x:v>40870599</x:v>
      </x:c>
      <x:c r="C600" t="str">
        <x:v>2023-10-26</x:v>
      </x:c>
      <x:c r="D600" t="str">
        <x:v>2023-10-28</x:v>
      </x:c>
      <x:c r="E600" t="str">
        <x:v>2023-10-29</x:v>
      </x:c>
      <x:c r="F600" t="str">
        <x:v>U400-DEETHANIZER-500</x:v>
      </x:c>
      <x:c r="G600" t="str">
        <x:v>E-503</x:v>
      </x:c>
      <x:c r="H600" t="str">
        <x:v>feed bottoms exchanger</x:v>
      </x:c>
      <x:c r="I600" t="str">
        <x:v>exchanger</x:v>
      </x:c>
      <x:c r="J600" t="str">
        <x:v>P3</x:v>
      </x:c>
      <x:c r="K600" t="str">
        <x:v>COMP</x:v>
      </x:c>
      <x:c r="L600" t="str">
        <x:v>ANLYZR</x:v>
      </x:c>
      <x:c r="M600" t="str">
        <x:v>feed_flow_step</x:v>
      </x:c>
      <x:c r="N600" t="str">
        <x:v>plugged pass</x:v>
      </x:c>
      <x:c r="O600" t="str">
        <x:v>PLUG</x:v>
      </x:c>
      <x:c r="P600" t="str">
        <x:v>FOUL</x:v>
      </x:c>
      <x:c r="Q600" t="str">
        <x:v>N</x:v>
      </x:c>
      <x:c r="R600" t="str">
        <x:v>6.5</x:v>
      </x:c>
      <x:c r="S600" t="str">
        <x:v>3961.12</x:v>
      </x:c>
      <x:c r="T600" t="str">
        <x:v>E-503 plugged pass asap</x:v>
      </x:c>
      <x:c r="U600" t="str">
        <x:v>days called for E-503 feed bottoms exchanger, lvl swing seen during feed flow step. Foud plugged pass; flow restricted. No spare in store at first, used refurb one from shop. swapped to standby and repaired. readng close to dcs after job. notif made by ops, maint attended same shift.</x:v>
      </x:c>
    </x:row>
    <x:row r="601" ht="15" hidden="0" customHeight="1">
      <x:c r="A601" t="str">
        <x:v>10450600</x:v>
      </x:c>
      <x:c r="B601" t="str">
        <x:v>40870600</x:v>
      </x:c>
      <x:c r="C601" t="str">
        <x:v>2023-10-23</x:v>
      </x:c>
      <x:c r="D601" t="str">
        <x:v>2023-10-23</x:v>
      </x:c>
      <x:c r="E601" t="str">
        <x:v>2023-10-23</x:v>
      </x:c>
      <x:c r="F601" t="str">
        <x:v>U400-DEETHANIZER-500</x:v>
      </x:c>
      <x:c r="G601" t="str">
        <x:v>FV-501</x:v>
      </x:c>
      <x:c r="H601" t="str">
        <x:v>feed flow control valve</x:v>
      </x:c>
      <x:c r="I601" t="str">
        <x:v>control_valve</x:v>
      </x:c>
      <x:c r="J601" t="str">
        <x:v>P3</x:v>
      </x:c>
      <x:c r="K601" t="str">
        <x:v>COMP</x:v>
      </x:c>
      <x:c r="L601" t="str">
        <x:v>OPS+MECH</x:v>
      </x:c>
      <x:c r="M601" t="str">
        <x:v>reflux_pump_degradation</x:v>
      </x:c>
      <x:c r="N601" t="str">
        <x:v>not stroking</x:v>
      </x:c>
      <x:c r="O601" t="str">
        <x:v>NO_TRAVEL</x:v>
      </x:c>
      <x:c r="P601" t="str">
        <x:v>ACT</x:v>
      </x:c>
      <x:c r="Q601" t="str">
        <x:v>N</x:v>
      </x:c>
      <x:c r="R601" t="str">
        <x:v>6.1</x:v>
      </x:c>
      <x:c r="S601" t="str">
        <x:v>3236.47</x:v>
      </x:c>
      <x:c r="T601" t="str">
        <x:v>FV-501 not stroking again, prod upset</x:v>
      </x:c>
      <x:c r="U601" t="str">
        <x:v>C shift called for FV-501 feed flow control valve, min flow hot seen during reflux pump degradation. Foud not stroking; actuator weak. swapped to standby and repaired. unit stable now. notif made by ops, maint attended same shift.</x:v>
      </x:c>
    </x:row>
    <x:row r="602" ht="15" hidden="0" customHeight="1">
      <x:c r="A602" t="str">
        <x:v>10450601</x:v>
      </x:c>
      <x:c r="B602" t="str">
        <x:v>40870601</x:v>
      </x:c>
      <x:c r="C602" t="str">
        <x:v>2023-10-26</x:v>
      </x:c>
      <x:c r="D602" t="str">
        <x:v>2023-10-27</x:v>
      </x:c>
      <x:c r="E602" t="str">
        <x:v>2023-10-28</x:v>
      </x:c>
      <x:c r="F602" t="str">
        <x:v>U400-DEETHANIZER-500</x:v>
      </x:c>
      <x:c r="G602" t="str">
        <x:v>TV-501</x:v>
      </x:c>
      <x:c r="H602" t="str">
        <x:v>reboiler hot medium valve</x:v>
      </x:c>
      <x:c r="I602" t="str">
        <x:v>control_valve</x:v>
      </x:c>
      <x:c r="J602" t="str">
        <x:v>P3</x:v>
      </x:c>
      <x:c r="K602" t="str">
        <x:v>COMP</x:v>
      </x:c>
      <x:c r="L602" t="str">
        <x:v>OPS+INST</x:v>
      </x:c>
      <x:c r="M602" t="str">
        <x:v>feed_temperature_ramp</x:v>
      </x:c>
      <x:c r="N602" t="str">
        <x:v>hunting loop</x:v>
      </x:c>
      <x:c r="O602" t="str">
        <x:v>CTRL_OSC</x:v>
      </x:c>
      <x:c r="P602" t="str">
        <x:v>TUNE</x:v>
      </x:c>
      <x:c r="Q602" t="str">
        <x:v>N</x:v>
      </x:c>
      <x:c r="R602" t="str">
        <x:v>12.6</x:v>
      </x:c>
      <x:c r="S602" t="str">
        <x:v>354.92</x:v>
      </x:c>
      <x:c r="T602" t="str">
        <x:v>TV-501 hunting loop noisy</x:v>
      </x:c>
      <x:c r="U602" t="str">
        <x:v>days called for TV-501 reboiler hot medium valve, spec off seen during feed temperature ramp. Foud hunting loop; bad response after upset. Line was hot so job done slow and with ops standing by. tightened fittings, leak test ok. no leak at handover. notif made by ops, maint attended same shift.</x:v>
      </x:c>
    </x:row>
    <x:row r="603" ht="15" hidden="0" customHeight="1">
      <x:c r="A603" t="str">
        <x:v>10450602</x:v>
      </x:c>
      <x:c r="B603" t="str">
        <x:v>40870602</x:v>
      </x:c>
      <x:c r="C603" t="str">
        <x:v>2023-10-30</x:v>
      </x:c>
      <x:c r="D603" t="str">
        <x:v>2023-11-01</x:v>
      </x:c>
      <x:c r="E603" t="str">
        <x:v>2023-11-02</x:v>
      </x:c>
      <x:c r="F603" t="str">
        <x:v>U400-DEETHANIZER-500</x:v>
      </x:c>
      <x:c r="G603" t="str">
        <x:v>TT-501B</x:v>
      </x:c>
      <x:c r="H603" t="str">
        <x:v>sensitive tray temperature tx</x:v>
      </x:c>
      <x:c r="I603" t="str">
        <x:v>instrument</x:v>
      </x:c>
      <x:c r="J603" t="str">
        <x:v>P4</x:v>
      </x:c>
      <x:c r="K603" t="str">
        <x:v>CLSD</x:v>
      </x:c>
      <x:c r="L603" t="str">
        <x:v>OPS+INST</x:v>
      </x:c>
      <x:c r="M603" t="str">
        <x:v>reboiler_duty_loss</x:v>
      </x:c>
      <x:c r="N603" t="str">
        <x:v>loose wire</x:v>
      </x:c>
      <x:c r="O603" t="str">
        <x:v>SIGNAL</x:v>
      </x:c>
      <x:c r="P603" t="str">
        <x:v>ELEC</x:v>
      </x:c>
      <x:c r="Q603" t="str">
        <x:v>N</x:v>
      </x:c>
      <x:c r="R603" t="str">
        <x:v>10.3</x:v>
      </x:c>
      <x:c r="S603" t="str">
        <x:v>2404.11</x:v>
      </x:c>
      <x:c r="T603" t="str">
        <x:v>TT-501B loose wire again, prod upset</x:v>
      </x:c>
      <x:c r="U603" t="str">
        <x:v>B shift called for TT-501B sensitive tray temperature tx, rb circ cold seen during reboiler duty loss. Foud loose wire; term loose. History shows same complain last mnth. cleaned and put back online. readng close to dcs after job. notif made by ops, maint attended same shift.</x:v>
      </x:c>
    </x:row>
    <x:row r="604" ht="15" hidden="0" customHeight="1">
      <x:c r="A604" t="str">
        <x:v>10450603</x:v>
      </x:c>
      <x:c r="B604" t="str">
        <x:v>40870603</x:v>
      </x:c>
      <x:c r="C604" t="str">
        <x:v>2023-10-28</x:v>
      </x:c>
      <x:c r="D604" t="str">
        <x:v>2023-10-28</x:v>
      </x:c>
      <x:c r="E604" t="str">
        <x:v>2023-10-29</x:v>
      </x:c>
      <x:c r="F604" t="str">
        <x:v>U400-DEETHANIZER-500</x:v>
      </x:c>
      <x:c r="G604" t="str">
        <x:v>LT-502</x:v>
      </x:c>
      <x:c r="H604" t="str">
        <x:v>column bottom level tx</x:v>
      </x:c>
      <x:c r="I604" t="str">
        <x:v>instrument</x:v>
      </x:c>
      <x:c r="J604" t="str">
        <x:v>P3</x:v>
      </x:c>
      <x:c r="K604" t="str">
        <x:v>CLSD</x:v>
      </x:c>
      <x:c r="L604" t="str">
        <x:v>E&amp;I</x:v>
      </x:c>
      <x:c r="M604" t="str">
        <x:v>valve_stiction</x:v>
      </x:c>
      <x:c r="N604" t="str">
        <x:v>bad reading</x:v>
      </x:c>
      <x:c r="O604" t="str">
        <x:v>DRIFT</x:v>
      </x:c>
      <x:c r="P604" t="str">
        <x:v>CAL</x:v>
      </x:c>
      <x:c r="Q604" t="str">
        <x:v>N</x:v>
      </x:c>
      <x:c r="R604" t="str">
        <x:v>3.7</x:v>
      </x:c>
      <x:c r="S604" t="str">
        <x:v>1247.8</x:v>
      </x:c>
      <x:c r="T604" t="str">
        <x:v>LT-502 not ok after vavle stiction</x:v>
      </x:c>
      <x:c r="U604" t="str">
        <x:v>C shift called for LT-502 column bottom level tx, loop cycling seen during valve stiction. Foud bad reading; needs calib. No spare in store at first, used refurb one from shop. tightened fittings, leak test ok. need watch next feed swing. notif made by ops, maint attended same shift.</x:v>
      </x:c>
    </x:row>
    <x:row r="605" ht="15" hidden="0" customHeight="1">
      <x:c r="A605" t="str">
        <x:v>10450604</x:v>
      </x:c>
      <x:c r="B605" t="str">
        <x:v>40870604</x:v>
      </x:c>
      <x:c r="C605" t="str">
        <x:v>2023-11-03</x:v>
      </x:c>
      <x:c r="D605" t="str">
        <x:v>2023-11-03</x:v>
      </x:c>
      <x:c r="E605" t="str">
        <x:v>2023-11-04</x:v>
      </x:c>
      <x:c r="F605" t="str">
        <x:v>U400-DEETHANIZER-500</x:v>
      </x:c>
      <x:c r="G605" t="str">
        <x:v>LV-502</x:v>
      </x:c>
      <x:c r="H605" t="str">
        <x:v>bottoms level valve</x:v>
      </x:c>
      <x:c r="I605" t="str">
        <x:v>control_valve</x:v>
      </x:c>
      <x:c r="J605" t="str">
        <x:v>P3</x:v>
      </x:c>
      <x:c r="K605" t="str">
        <x:v>TECO</x:v>
      </x:c>
      <x:c r="L605" t="str">
        <x:v>OPS+INST</x:v>
      </x:c>
      <x:c r="M605" t="str">
        <x:v>valve_stiction</x:v>
      </x:c>
      <x:c r="N605" t="str">
        <x:v>air leak</x:v>
      </x:c>
      <x:c r="O605" t="str">
        <x:v>AIR_LEAK</x:v>
      </x:c>
      <x:c r="P605" t="str">
        <x:v>TUBING</x:v>
      </x:c>
      <x:c r="Q605" t="str">
        <x:v>N</x:v>
      </x:c>
      <x:c r="R605" t="str">
        <x:v>16.0</x:v>
      </x:c>
      <x:c r="S605" t="str">
        <x:v>3534.77</x:v>
      </x:c>
      <x:c r="T605" t="str">
        <x:v>chk LV-502 - air leak frm ops</x:v>
      </x:c>
      <x:c r="U605" t="str">
        <x:v>days called for LV-502 bottoms level valve, op jumps seen during valve stiction. Foud air leak; positioner supply drop. replaced positioner tubing and retuned small. need watch next feed swing. notif made by ops, maint attended same shift.</x:v>
      </x:c>
    </x:row>
    <x:row r="606" ht="15" hidden="0" customHeight="1">
      <x:c r="A606" t="str">
        <x:v>10450605</x:v>
      </x:c>
      <x:c r="B606" t="str">
        <x:v>40870605</x:v>
      </x:c>
      <x:c r="C606" t="str">
        <x:v>2023-11-01</x:v>
      </x:c>
      <x:c r="D606" t="str">
        <x:v>2023-11-02</x:v>
      </x:c>
      <x:c r="E606" t="str">
        <x:v>2023-11-02</x:v>
      </x:c>
      <x:c r="F606" t="str">
        <x:v>U400-DEETHANIZER-500</x:v>
      </x:c>
      <x:c r="G606" t="str">
        <x:v>LT-501</x:v>
      </x:c>
      <x:c r="H606" t="str">
        <x:v>reflux drum level tx</x:v>
      </x:c>
      <x:c r="I606" t="str">
        <x:v>instrument</x:v>
      </x:c>
      <x:c r="J606" t="str">
        <x:v>P3</x:v>
      </x:c>
      <x:c r="K606" t="str">
        <x:v>TECO</x:v>
      </x:c>
      <x:c r="L606" t="str">
        <x:v>OPS+INST</x:v>
      </x:c>
      <x:c r="M606" t="str">
        <x:v>condenser_fouling</x:v>
      </x:c>
      <x:c r="N606" t="str">
        <x:v>impulse plugged</x:v>
      </x:c>
      <x:c r="O606" t="str">
        <x:v>PLUG</x:v>
      </x:c>
      <x:c r="P606" t="str">
        <x:v>PROCESS</x:v>
      </x:c>
      <x:c r="Q606" t="str">
        <x:v>N</x:v>
      </x:c>
      <x:c r="R606" t="str">
        <x:v>13.1</x:v>
      </x:c>
      <x:c r="S606" t="str">
        <x:v>4202.87</x:v>
      </x:c>
      <x:c r="T606" t="str">
        <x:v>LT-501 not ok after condenser fouling</x:v>
      </x:c>
      <x:c r="U606" t="str">
        <x:v>night called for LT-501 rflx drum level tx, pic wide open seen during condenser fouling. Foud impulse plugged; tap/line dirty. calibrated, loop checked with CCR. temp repair only, plan shutdown job. notif made by ops, maint attended same shift.</x:v>
      </x:c>
    </x:row>
    <x:row r="607" ht="15" hidden="0" customHeight="1">
      <x:c r="A607" t="str">
        <x:v>10450606</x:v>
      </x:c>
      <x:c r="B607" t="str">
        <x:v>40870606</x:v>
      </x:c>
      <x:c r="C607" t="str">
        <x:v>2023-11-06</x:v>
      </x:c>
      <x:c r="D607" t="str">
        <x:v>2023-11-07</x:v>
      </x:c>
      <x:c r="E607" t="str">
        <x:v>2023-11-08</x:v>
      </x:c>
      <x:c r="F607" t="str">
        <x:v>U400-DEETHANIZER-500</x:v>
      </x:c>
      <x:c r="G607" t="str">
        <x:v>PT-501</x:v>
      </x:c>
      <x:c r="H607" t="str">
        <x:v>column overhead pressure tx</x:v>
      </x:c>
      <x:c r="I607" t="str">
        <x:v>instrument</x:v>
      </x:c>
      <x:c r="J607" t="str">
        <x:v>P3</x:v>
      </x:c>
      <x:c r="K607" t="str">
        <x:v>TECO</x:v>
      </x:c>
      <x:c r="L607" t="str">
        <x:v>ANLYZR</x:v>
      </x:c>
      <x:c r="M607" t="str">
        <x:v>condenser_fouling</x:v>
      </x:c>
      <x:c r="N607" t="str">
        <x:v>no signal</x:v>
      </x:c>
      <x:c r="O607" t="str">
        <x:v>NO_SIGNAL</x:v>
      </x:c>
      <x:c r="P607" t="str">
        <x:v>ELEC</x:v>
      </x:c>
      <x:c r="Q607" t="str">
        <x:v>N</x:v>
      </x:c>
      <x:c r="R607" t="str">
        <x:v>17.3</x:v>
      </x:c>
      <x:c r="S607" t="str">
        <x:v>5561.5</x:v>
      </x:c>
      <x:c r="T607" t="str">
        <x:v>PT-501 not ok after condnsr fouling</x:v>
      </x:c>
      <x:c r="U607" t="str">
        <x:v>B shift called for PT-501 column overhead pressure tx, high ovhd press seen during condenser fouling. Foud no signal; 24v or card issue. Tag plate dirty, confirmd by line up with panel. changed gasket and boxed up. still little hunting but acceptable. notif made by ops, maint attended same shift.</x:v>
      </x:c>
    </x:row>
    <x:row r="608" ht="15" hidden="0" customHeight="1">
      <x:c r="A608" t="str">
        <x:v>10450607</x:v>
      </x:c>
      <x:c r="B608" t="str">
        <x:v>40870607</x:v>
      </x:c>
      <x:c r="C608" t="str">
        <x:v>2023-11-04</x:v>
      </x:c>
      <x:c r="D608" t="str">
        <x:v>2023-11-06</x:v>
      </x:c>
      <x:c r="E608" t="str">
        <x:v>2023-11-09</x:v>
      </x:c>
      <x:c r="F608" t="str">
        <x:v>U400-DEETHANIZER-500</x:v>
      </x:c>
      <x:c r="G608" t="str">
        <x:v>TV-502</x:v>
      </x:c>
      <x:c r="H608" t="str">
        <x:v>condenser cooling valve</x:v>
      </x:c>
      <x:c r="I608" t="str">
        <x:v>control_valve</x:v>
      </x:c>
      <x:c r="J608" t="str">
        <x:v>P3</x:v>
      </x:c>
      <x:c r="K608" t="str">
        <x:v>COMP</x:v>
      </x:c>
      <x:c r="L608" t="str">
        <x:v>ROT</x:v>
      </x:c>
      <x:c r="M608" t="str">
        <x:v>pressure_control_fault</x:v>
      </x:c>
      <x:c r="N608" t="str">
        <x:v>stiction</x:v>
      </x:c>
      <x:c r="O608" t="str">
        <x:v>STICK</x:v>
      </x:c>
      <x:c r="P608" t="str">
        <x:v>PACKING</x:v>
      </x:c>
      <x:c r="Q608" t="str">
        <x:v>N</x:v>
      </x:c>
      <x:c r="R608" t="str">
        <x:v>13.0</x:v>
      </x:c>
      <x:c r="S608" t="str">
        <x:v>6523.33</x:v>
      </x:c>
      <x:c r="T608" t="str">
        <x:v>TV-502 stiction again, prod upset</x:v>
      </x:c>
      <x:c r="U608" t="str">
        <x:v>night called for TV-502 condenser cooling vavle, pshh close call seen during pressure control fault. Foud stiction; stem sticky and pos err. Could not get permit first time waiting area gas test. reset trip and monitored for 2 hrs. temp repair only, plan shutdown job. notif made by ops, maint attended same shift.</x:v>
      </x:c>
    </x:row>
    <x:row r="609" ht="15" hidden="0" customHeight="1">
      <x:c r="A609" t="str">
        <x:v>10450608</x:v>
      </x:c>
      <x:c r="B609" t="str">
        <x:v>40870608</x:v>
      </x:c>
      <x:c r="C609" t="str">
        <x:v>2023-11-06</x:v>
      </x:c>
      <x:c r="D609" t="str">
        <x:v>2023-11-07</x:v>
      </x:c>
      <x:c r="E609" t="str">
        <x:v>2023-11-08</x:v>
      </x:c>
      <x:c r="F609" t="str">
        <x:v>U400-DEETHANIZER-500</x:v>
      </x:c>
      <x:c r="G609" t="str">
        <x:v>E-503</x:v>
      </x:c>
      <x:c r="H609" t="str">
        <x:v>feed bottoms exchanger</x:v>
      </x:c>
      <x:c r="I609" t="str">
        <x:v>exchanger</x:v>
      </x:c>
      <x:c r="J609" t="str">
        <x:v>P3</x:v>
      </x:c>
      <x:c r="K609" t="str">
        <x:v>CLSD</x:v>
      </x:c>
      <x:c r="L609" t="str">
        <x:v>VALVE</x:v>
      </x:c>
      <x:c r="M609" t="str">
        <x:v>feed_composition_shift</x:v>
      </x:c>
      <x:c r="N609" t="str">
        <x:v>tube fouling</x:v>
      </x:c>
      <x:c r="O609" t="str">
        <x:v>FOULING</x:v>
      </x:c>
      <x:c r="P609" t="str">
        <x:v>PROCESS</x:v>
      </x:c>
      <x:c r="Q609" t="str">
        <x:v>N</x:v>
      </x:c>
      <x:c r="R609" t="str">
        <x:v>15.2</x:v>
      </x:c>
      <x:c r="S609" t="str">
        <x:v>2841.02</x:v>
      </x:c>
      <x:c r="T609" t="str">
        <x:v>chk E-503 - tube fouling frm ops</x:v>
      </x:c>
      <x:c r="U609" t="str">
        <x:v>days called for E-503 feed bottoms exchanger, c3 in feed hi seen during feed composition shift. Foud tube fouling; duty low, delta t poor. opened strainer, cleaned black sludge. need watch next feed swing. notif made by ops, maint attended same shift.</x:v>
      </x:c>
    </x:row>
    <x:row r="610" ht="15" hidden="0" customHeight="1">
      <x:c r="A610" t="str">
        <x:v>10450609</x:v>
      </x:c>
      <x:c r="B610" t="str">
        <x:v>40870609</x:v>
      </x:c>
      <x:c r="C610" t="str">
        <x:v>2023-11-10</x:v>
      </x:c>
      <x:c r="D610" t="str">
        <x:v>2023-11-10</x:v>
      </x:c>
      <x:c r="E610" t="str">
        <x:v>2023-11-17</x:v>
      </x:c>
      <x:c r="F610" t="str">
        <x:v>U400-DEETHANIZER-500</x:v>
      </x:c>
      <x:c r="G610" t="str">
        <x:v>E-501</x:v>
      </x:c>
      <x:c r="H610" t="str">
        <x:v>deethanizer reboiler</x:v>
      </x:c>
      <x:c r="I610" t="str">
        <x:v>reboiler</x:v>
      </x:c>
      <x:c r="J610" t="str">
        <x:v>P3</x:v>
      </x:c>
      <x:c r="K610" t="str">
        <x:v>COMP</x:v>
      </x:c>
      <x:c r="L610" t="str">
        <x:v>ROT</x:v>
      </x:c>
      <x:c r="M610" t="str">
        <x:v>reboiler_duty_loss</x:v>
      </x:c>
      <x:c r="N610" t="str">
        <x:v>low duty</x:v>
      </x:c>
      <x:c r="O610" t="str">
        <x:v>DUTY_LOSS</x:v>
      </x:c>
      <x:c r="P610" t="str">
        <x:v>UTILITY</x:v>
      </x:c>
      <x:c r="Q610" t="str">
        <x:v>N</x:v>
      </x:c>
      <x:c r="R610" t="str">
        <x:v>17.2</x:v>
      </x:c>
      <x:c r="S610" t="str">
        <x:v>2504.36</x:v>
      </x:c>
      <x:c r="T610" t="str">
        <x:v>E-501 not ok after reboiler duty loss</x:v>
      </x:c>
      <x:c r="U610" t="str">
        <x:v>B shift called for E-501 deethanizer rebiler, rb circ cold seen during rebiler duty loss. Foud low duty; hm valve/strainer issue. swapped to standby and repaired. still little hunting but acceptable. notif made by ops, maint attended same shift.</x:v>
      </x:c>
    </x:row>
    <x:row r="611" ht="15" hidden="0" customHeight="1">
      <x:c r="A611" t="str">
        <x:v>10450610</x:v>
      </x:c>
      <x:c r="B611" t="str">
        <x:v>40870610</x:v>
      </x:c>
      <x:c r="C611" t="str">
        <x:v>2023-11-07</x:v>
      </x:c>
      <x:c r="D611" t="str">
        <x:v>2023-11-08</x:v>
      </x:c>
      <x:c r="E611" t="str">
        <x:v>2023-11-09</x:v>
      </x:c>
      <x:c r="F611" t="str">
        <x:v>U400-DEETHANIZER-500</x:v>
      </x:c>
      <x:c r="G611" t="str">
        <x:v>PV-501</x:v>
      </x:c>
      <x:c r="H611" t="str">
        <x:v>column pressure control valve</x:v>
      </x:c>
      <x:c r="I611" t="str">
        <x:v>control_valve</x:v>
      </x:c>
      <x:c r="J611" t="str">
        <x:v>P3</x:v>
      </x:c>
      <x:c r="K611" t="str">
        <x:v>COMP</x:v>
      </x:c>
      <x:c r="L611" t="str">
        <x:v>VALVE</x:v>
      </x:c>
      <x:c r="M611" t="str">
        <x:v>condenser_fouling</x:v>
      </x:c>
      <x:c r="N611" t="str">
        <x:v>passing</x:v>
      </x:c>
      <x:c r="O611" t="str">
        <x:v>LEAK_BY</x:v>
      </x:c>
      <x:c r="P611" t="str">
        <x:v>SEAT</x:v>
      </x:c>
      <x:c r="Q611" t="str">
        <x:v>N</x:v>
      </x:c>
      <x:c r="R611" t="str">
        <x:v>8.0</x:v>
      </x:c>
      <x:c r="S611" t="str">
        <x:v>4081.06</x:v>
      </x:c>
      <x:c r="T611" t="str">
        <x:v>chk PV-501 - passing frm ops</x:v>
      </x:c>
      <x:c r="U611" t="str">
        <x:v>night called for PV-501 colmn pressure control valve, cw dt low seen during condenser fouling. Foud passing; seat leak by. cleaned and put back online. temp repair only, plan shutdown job. notif made by ops, maint attended same shift.</x:v>
      </x:c>
    </x:row>
    <x:row r="612" ht="15" hidden="0" customHeight="1">
      <x:c r="A612" t="str">
        <x:v>10450611</x:v>
      </x:c>
      <x:c r="B612" t="str">
        <x:v>40870611</x:v>
      </x:c>
      <x:c r="C612" t="str">
        <x:v>2023-11-13</x:v>
      </x:c>
      <x:c r="D612" t="str">
        <x:v>2023-11-14</x:v>
      </x:c>
      <x:c r="E612" t="str">
        <x:v>2023-11-15</x:v>
      </x:c>
      <x:c r="F612" t="str">
        <x:v>U400-DEETHANIZER-500</x:v>
      </x:c>
      <x:c r="G612" t="str">
        <x:v>FT-502</x:v>
      </x:c>
      <x:c r="H612" t="str">
        <x:v>reflux flow transmitter</x:v>
      </x:c>
      <x:c r="I612" t="str">
        <x:v>instrument</x:v>
      </x:c>
      <x:c r="J612" t="str">
        <x:v>P3</x:v>
      </x:c>
      <x:c r="K612" t="str">
        <x:v>CLSD</x:v>
      </x:c>
      <x:c r="L612" t="str">
        <x:v>OPS+INST</x:v>
      </x:c>
      <x:c r="M612" t="str">
        <x:v>reflux_pump_degradation</x:v>
      </x:c>
      <x:c r="N612" t="str">
        <x:v>bad reading</x:v>
      </x:c>
      <x:c r="O612" t="str">
        <x:v>DRIFT</x:v>
      </x:c>
      <x:c r="P612" t="str">
        <x:v>CAL</x:v>
      </x:c>
      <x:c r="Q612" t="str">
        <x:v>N</x:v>
      </x:c>
      <x:c r="R612" t="str">
        <x:v>6.8</x:v>
      </x:c>
      <x:c r="S612" t="str">
        <x:v>3331.92</x:v>
      </x:c>
      <x:c r="T612" t="str">
        <x:v>FT-502 not ok after reflux pump degradation</x:v>
      </x:c>
      <x:c r="U612" t="str">
        <x:v>C shift called for FT-502 reflux flow tx, pump vib seen during reflux pump degradation. Foud bad reading; needs calib. Could not get permit first time waiting area gas test. flushed impulse/sample line. readng close to dcs after job. notif made by ops, maint attended same shift.</x:v>
      </x:c>
    </x:row>
    <x:row r="613" ht="15" hidden="0" customHeight="1">
      <x:c r="A613" t="str">
        <x:v>10450612</x:v>
      </x:c>
      <x:c r="B613" t="str">
        <x:v>40870612</x:v>
      </x:c>
      <x:c r="C613" t="str">
        <x:v>2023-11-12</x:v>
      </x:c>
      <x:c r="D613" t="str">
        <x:v>2023-11-12</x:v>
      </x:c>
      <x:c r="E613" t="str">
        <x:v>2023-11-14</x:v>
      </x:c>
      <x:c r="F613" t="str">
        <x:v>U400-DEETHANIZER-500</x:v>
      </x:c>
      <x:c r="G613" t="str">
        <x:v>E-503</x:v>
      </x:c>
      <x:c r="H613" t="str">
        <x:v>feed bottoms exchanger</x:v>
      </x:c>
      <x:c r="I613" t="str">
        <x:v>exchanger</x:v>
      </x:c>
      <x:c r="J613" t="str">
        <x:v>P2</x:v>
      </x:c>
      <x:c r="K613" t="str">
        <x:v>COMP</x:v>
      </x:c>
      <x:c r="L613" t="str">
        <x:v>ROT</x:v>
      </x:c>
      <x:c r="M613" t="str">
        <x:v>feed_composition_shift</x:v>
      </x:c>
      <x:c r="N613" t="str">
        <x:v>plugged pass</x:v>
      </x:c>
      <x:c r="O613" t="str">
        <x:v>PLUG</x:v>
      </x:c>
      <x:c r="P613" t="str">
        <x:v>FOUL</x:v>
      </x:c>
      <x:c r="Q613" t="str">
        <x:v>Y</x:v>
      </x:c>
      <x:c r="R613" t="str">
        <x:v>19.0</x:v>
      </x:c>
      <x:c r="S613" t="str">
        <x:v>6568.53</x:v>
      </x:c>
      <x:c r="T613" t="str">
        <x:v>chk E-503 - plugged pass frm ops</x:v>
      </x:c>
      <x:c r="U613" t="str">
        <x:v>A shift called for E-503 feed bottoms exchanger, quality bad seen during feed composition shift. Foud plugged pass; flow restricted. calibrated, loop chekd with CCR. temp repair only, plan shutdown job. notif made by ops, maint attended same shift.</x:v>
      </x:c>
    </x:row>
    <x:row r="614" ht="15" hidden="0" customHeight="1">
      <x:c r="A614" t="str">
        <x:v>10450613</x:v>
      </x:c>
      <x:c r="B614" t="str">
        <x:v>40870613</x:v>
      </x:c>
      <x:c r="C614" t="str">
        <x:v>2023-11-14</x:v>
      </x:c>
      <x:c r="D614" t="str">
        <x:v>2023-11-16</x:v>
      </x:c>
      <x:c r="E614" t="str">
        <x:v>2023-11-16</x:v>
      </x:c>
      <x:c r="F614" t="str">
        <x:v>U400-DEETHANIZER-500</x:v>
      </x:c>
      <x:c r="G614" t="str">
        <x:v>TT-503</x:v>
      </x:c>
      <x:c r="H614" t="str">
        <x:v>reboiler outlet temperature tx</x:v>
      </x:c>
      <x:c r="I614" t="str">
        <x:v>instrument</x:v>
      </x:c>
      <x:c r="J614" t="str">
        <x:v>P3</x:v>
      </x:c>
      <x:c r="K614" t="str">
        <x:v>COMP</x:v>
      </x:c>
      <x:c r="L614" t="str">
        <x:v>E&amp;I</x:v>
      </x:c>
      <x:c r="M614" t="str">
        <x:v>reboiler_duty_loss</x:v>
      </x:c>
      <x:c r="N614" t="str">
        <x:v>loose wire</x:v>
      </x:c>
      <x:c r="O614" t="str">
        <x:v>SIGNAL</x:v>
      </x:c>
      <x:c r="P614" t="str">
        <x:v>ELEC</x:v>
      </x:c>
      <x:c r="Q614" t="str">
        <x:v>N</x:v>
      </x:c>
      <x:c r="R614" t="str">
        <x:v>1.0</x:v>
      </x:c>
      <x:c r="S614" t="str">
        <x:v>61.59</x:v>
      </x:c>
      <x:c r="T614" t="str">
        <x:v>TT-503 loose wire again, prod upset</x:v>
      </x:c>
      <x:c r="U614" t="str">
        <x:v>night called for TT-503 reboiler outlet temperature tx, rb circ cold seen during reboiler duty loss. Foud loose wire; term loose. Line was hot so job done slow and with ops standing by. stroke tested, response better. ops says ok for now. notif made by ops, maint attended same shift.</x:v>
      </x:c>
    </x:row>
    <x:row r="615" ht="15" hidden="0" customHeight="1">
      <x:c r="A615" t="str">
        <x:v>10450614</x:v>
      </x:c>
      <x:c r="B615" t="str">
        <x:v>40870614</x:v>
      </x:c>
      <x:c r="C615" t="str">
        <x:v>2023-11-13</x:v>
      </x:c>
      <x:c r="D615" t="str">
        <x:v>2023-11-13</x:v>
      </x:c>
      <x:c r="E615" t="str">
        <x:v>2023-11-14</x:v>
      </x:c>
      <x:c r="F615" t="str">
        <x:v>U400-DEETHANIZER-500</x:v>
      </x:c>
      <x:c r="G615" t="str">
        <x:v>PT-501</x:v>
      </x:c>
      <x:c r="H615" t="str">
        <x:v>column overhead pressure tx</x:v>
      </x:c>
      <x:c r="I615" t="str">
        <x:v>instrument</x:v>
      </x:c>
      <x:c r="J615" t="str">
        <x:v>P1</x:v>
      </x:c>
      <x:c r="K615" t="str">
        <x:v>CLSD</x:v>
      </x:c>
      <x:c r="L615" t="str">
        <x:v>OPS+INST</x:v>
      </x:c>
      <x:c r="M615" t="str">
        <x:v>condenser_fouling</x:v>
      </x:c>
      <x:c r="N615" t="str">
        <x:v>loose wire</x:v>
      </x:c>
      <x:c r="O615" t="str">
        <x:v>SIGNAL</x:v>
      </x:c>
      <x:c r="P615" t="str">
        <x:v>ELEC</x:v>
      </x:c>
      <x:c r="Q615" t="str">
        <x:v>N</x:v>
      </x:c>
      <x:c r="R615" t="str">
        <x:v>14.1</x:v>
      </x:c>
      <x:c r="S615" t="str">
        <x:v>3748.04</x:v>
      </x:c>
      <x:c r="T615" t="str">
        <x:v>PT-501 drum temp hi, loose wire</x:v>
      </x:c>
      <x:c r="U615" t="str">
        <x:v>B shift called for PT-501 column overhead pressure tx, pic wide open seen during condenser fouling. Foud loose wire; term loose. Line was hot so job done slow and with ops standing by. flushed impulse/sample line. no leak at handover. notif made by ops, maint attended same shift.</x:v>
      </x:c>
    </x:row>
    <x:row r="616" ht="15" hidden="0" customHeight="1">
      <x:c r="A616" t="str">
        <x:v>10450615</x:v>
      </x:c>
      <x:c r="B616" t="str">
        <x:v>40870615</x:v>
      </x:c>
      <x:c r="C616" t="str">
        <x:v>2023-11-18</x:v>
      </x:c>
      <x:c r="D616" t="str">
        <x:v>2023-11-18</x:v>
      </x:c>
      <x:c r="E616" t="str">
        <x:v>2023-11-20</x:v>
      </x:c>
      <x:c r="F616" t="str">
        <x:v>U400-DEETHANIZER-500</x:v>
      </x:c>
      <x:c r="G616" t="str">
        <x:v>PSV-501A</x:v>
      </x:c>
      <x:c r="H616" t="str">
        <x:v>column relief valve A</x:v>
      </x:c>
      <x:c r="I616" t="str">
        <x:v>relief</x:v>
      </x:c>
      <x:c r="J616" t="str">
        <x:v>P3</x:v>
      </x:c>
      <x:c r="K616" t="str">
        <x:v>CLSD</x:v>
      </x:c>
      <x:c r="L616" t="str">
        <x:v>INST</x:v>
      </x:c>
      <x:c r="M616" t="str">
        <x:v>pressure_control_fault</x:v>
      </x:c>
      <x:c r="N616" t="str">
        <x:v>car seal broken</x:v>
      </x:c>
      <x:c r="O616" t="str">
        <x:v>CSO</x:v>
      </x:c>
      <x:c r="P616" t="str">
        <x:v>HUMAN</x:v>
      </x:c>
      <x:c r="Q616" t="str">
        <x:v>N</x:v>
      </x:c>
      <x:c r="R616" t="str">
        <x:v>9.2</x:v>
      </x:c>
      <x:c r="S616" t="str">
        <x:v>1381.99</x:v>
      </x:c>
      <x:c r="T616" t="str">
        <x:v>PSV-501A car seal broken again, prod upset</x:v>
      </x:c>
      <x:c r="U616" t="str">
        <x:v>A shift called for PSV-501A column relief valve A, flare valve checked seen during pressure ctrl fault. Foud car seal broken; seal missing found. flushed impulse/sample line. need watch next feed swing. notif made by ops, maint attended same shift.</x:v>
      </x:c>
    </x:row>
    <x:row r="617" ht="15" hidden="0" customHeight="1">
      <x:c r="A617" t="str">
        <x:v>10450616</x:v>
      </x:c>
      <x:c r="B617" t="str">
        <x:v>40870616</x:v>
      </x:c>
      <x:c r="C617" t="str">
        <x:v>2023-11-19</x:v>
      </x:c>
      <x:c r="D617" t="str">
        <x:v>2023-11-19</x:v>
      </x:c>
      <x:c r="E617" t="str">
        <x:v>2023-11-19</x:v>
      </x:c>
      <x:c r="F617" t="str">
        <x:v>U400-DEETHANIZER-500</x:v>
      </x:c>
      <x:c r="G617" t="str">
        <x:v>FV-501</x:v>
      </x:c>
      <x:c r="H617" t="str">
        <x:v>feed flow control valve</x:v>
      </x:c>
      <x:c r="I617" t="str">
        <x:v>control_valve</x:v>
      </x:c>
      <x:c r="J617" t="str">
        <x:v>P4</x:v>
      </x:c>
      <x:c r="K617" t="str">
        <x:v>COMP</x:v>
      </x:c>
      <x:c r="L617" t="str">
        <x:v>ANLYZR</x:v>
      </x:c>
      <x:c r="M617" t="str">
        <x:v>feed_flow_step</x:v>
      </x:c>
      <x:c r="N617" t="str">
        <x:v>air leak</x:v>
      </x:c>
      <x:c r="O617" t="str">
        <x:v>AIR_LEAK</x:v>
      </x:c>
      <x:c r="P617" t="str">
        <x:v>TUBING</x:v>
      </x:c>
      <x:c r="Q617" t="str">
        <x:v>N</x:v>
      </x:c>
      <x:c r="R617" t="str">
        <x:v>1.5</x:v>
      </x:c>
      <x:c r="S617" t="str">
        <x:v>6494.34</x:v>
      </x:c>
      <x:c r="T617" t="str">
        <x:v>FV-501 air leak noisy</x:v>
      </x:c>
      <x:c r="U617" t="str">
        <x:v>A shift called for FV-501 feed flow ctrl valve, feed jump seen during feed flow step. Foud air leak; positioner supply drop. flushed impulse/sample line. ops says ok for now. notif made by ops, maint attended same shift.</x:v>
      </x:c>
    </x:row>
    <x:row r="618" ht="15" hidden="0" customHeight="1">
      <x:c r="A618" t="str">
        <x:v>10450617</x:v>
      </x:c>
      <x:c r="B618" t="str">
        <x:v>40870617</x:v>
      </x:c>
      <x:c r="C618" t="str">
        <x:v>2023-11-22</x:v>
      </x:c>
      <x:c r="D618" t="str">
        <x:v>2023-11-23</x:v>
      </x:c>
      <x:c r="E618" t="str">
        <x:v>2023-11-25</x:v>
      </x:c>
      <x:c r="F618" t="str">
        <x:v>U400-DEETHANIZER-500</x:v>
      </x:c>
      <x:c r="G618" t="str">
        <x:v>T-501</x:v>
      </x:c>
      <x:c r="H618" t="str">
        <x:v>deethanizer column</x:v>
      </x:c>
      <x:c r="I618" t="str">
        <x:v>column</x:v>
      </x:c>
      <x:c r="J618" t="str">
        <x:v>P2</x:v>
      </x:c>
      <x:c r="K618" t="str">
        <x:v>CLSD</x:v>
      </x:c>
      <x:c r="L618" t="str">
        <x:v>ANLYZR</x:v>
      </x:c>
      <x:c r="M618" t="str">
        <x:v>valve_stiction</x:v>
      </x:c>
      <x:c r="N618" t="str">
        <x:v>weeping flange</x:v>
      </x:c>
      <x:c r="O618" t="str">
        <x:v>LEAK</x:v>
      </x:c>
      <x:c r="P618" t="str">
        <x:v>GASKET</x:v>
      </x:c>
      <x:c r="Q618" t="str">
        <x:v>Y</x:v>
      </x:c>
      <x:c r="R618" t="str">
        <x:v>12.7</x:v>
      </x:c>
      <x:c r="S618" t="str">
        <x:v>2625.2</x:v>
      </x:c>
      <x:c r="T618" t="str">
        <x:v>T-501 position bad, weeping flange</x:v>
      </x:c>
      <x:c r="U618" t="str">
        <x:v>A shift called for T-501 deethanizer column, valve sticking seen during valve stiction. Foud weeping flange; manway/flange seep. swapped to standby and repaired. temp repair only, plan shutdown job. notif made by ops, maint attended same shift.</x:v>
      </x:c>
    </x:row>
    <x:row r="619" ht="15" hidden="0" customHeight="1">
      <x:c r="A619" t="str">
        <x:v>10450618</x:v>
      </x:c>
      <x:c r="B619" t="str">
        <x:v>40870618</x:v>
      </x:c>
      <x:c r="C619" t="str">
        <x:v>2023-11-19</x:v>
      </x:c>
      <x:c r="D619" t="str">
        <x:v>2023-11-20</x:v>
      </x:c>
      <x:c r="E619" t="str">
        <x:v>2023-11-20</x:v>
      </x:c>
      <x:c r="F619" t="str">
        <x:v>U400-DEETHANIZER-500</x:v>
      </x:c>
      <x:c r="G619" t="str">
        <x:v>T-501</x:v>
      </x:c>
      <x:c r="H619" t="str">
        <x:v>deethanizer column</x:v>
      </x:c>
      <x:c r="I619" t="str">
        <x:v>column</x:v>
      </x:c>
      <x:c r="J619" t="str">
        <x:v>P3</x:v>
      </x:c>
      <x:c r="K619" t="str">
        <x:v>COMP</x:v>
      </x:c>
      <x:c r="L619" t="str">
        <x:v>ANLYZR</x:v>
      </x:c>
      <x:c r="M619" t="str">
        <x:v>normal_wear</x:v>
      </x:c>
      <x:c r="N619" t="str">
        <x:v>dp high</x:v>
      </x:c>
      <x:c r="O619" t="str">
        <x:v>DP_HIGH</x:v>
      </x:c>
      <x:c r="P619" t="str">
        <x:v>FOAM</x:v>
      </x:c>
      <x:c r="Q619" t="str">
        <x:v>N</x:v>
      </x:c>
      <x:c r="R619" t="str">
        <x:v>14.8</x:v>
      </x:c>
      <x:c r="S619" t="str">
        <x:v>6290.23</x:v>
      </x:c>
      <x:c r="T619" t="str">
        <x:v>T-501 dp high again, prod upset</x:v>
      </x:c>
      <x:c r="U619" t="str">
        <x:v>C shift called for T-501 deethanizer colmn, noise seen during normal wear. Foud dp high; trays loading or foaming. tightened fittings, leak test ok. readng close to dcs after job. notif made by ops, maint attended same shift.</x:v>
      </x:c>
    </x:row>
    <x:row r="620" ht="15" hidden="0" customHeight="1">
      <x:c r="A620" t="str">
        <x:v>10450619</x:v>
      </x:c>
      <x:c r="B620" t="str">
        <x:v>40870619</x:v>
      </x:c>
      <x:c r="C620" t="str">
        <x:v>2023-11-20</x:v>
      </x:c>
      <x:c r="D620" t="str">
        <x:v>2023-11-20</x:v>
      </x:c>
      <x:c r="E620" t="str">
        <x:v>2023-11-20</x:v>
      </x:c>
      <x:c r="F620" t="str">
        <x:v>U400-DEETHANIZER-500</x:v>
      </x:c>
      <x:c r="G620" t="str">
        <x:v>P-502B</x:v>
      </x:c>
      <x:c r="H620" t="str">
        <x:v>bottoms pump B</x:v>
      </x:c>
      <x:c r="I620" t="str">
        <x:v>pump</x:v>
      </x:c>
      <x:c r="J620" t="str">
        <x:v>P1</x:v>
      </x:c>
      <x:c r="K620" t="str">
        <x:v>CLSD</x:v>
      </x:c>
      <x:c r="L620" t="str">
        <x:v>MECH</x:v>
      </x:c>
      <x:c r="M620" t="str">
        <x:v>feed_flow_step</x:v>
      </x:c>
      <x:c r="N620" t="str">
        <x:v>bearing hot</x:v>
      </x:c>
      <x:c r="O620" t="str">
        <x:v>BRG</x:v>
      </x:c>
      <x:c r="P620" t="str">
        <x:v>WEAR</x:v>
      </x:c>
      <x:c r="Q620" t="str">
        <x:v>Y</x:v>
      </x:c>
      <x:c r="R620" t="str">
        <x:v>15.3</x:v>
      </x:c>
      <x:c r="S620" t="str">
        <x:v>13112.97</x:v>
      </x:c>
      <x:c r="T620" t="str">
        <x:v>P-502B not ok after feed flow step</x:v>
      </x:c>
      <x:c r="U620" t="str">
        <x:v>night called for P-502B bottoms pump B, feed jump seen during feed flow step. Foud bearing hot; brg rough, lube dark. Line was hot so job done slow and with ops standing by. reset trip and monitored for 2 hrs. no leak at handover. notif made by ops, maint attended same shift.</x:v>
      </x:c>
    </x:row>
    <x:row r="621" ht="15" hidden="0" customHeight="1">
      <x:c r="A621" t="str">
        <x:v>10450620</x:v>
      </x:c>
      <x:c r="B621" t="str">
        <x:v>40870620</x:v>
      </x:c>
      <x:c r="C621" t="str">
        <x:v>2023-11-22</x:v>
      </x:c>
      <x:c r="D621" t="str">
        <x:v>2023-11-23</x:v>
      </x:c>
      <x:c r="E621" t="str">
        <x:v>2023-11-28</x:v>
      </x:c>
      <x:c r="F621" t="str">
        <x:v>U400-DEETHANIZER-500</x:v>
      </x:c>
      <x:c r="G621" t="str">
        <x:v>P-501A</x:v>
      </x:c>
      <x:c r="H621" t="str">
        <x:v>reflux pump A</x:v>
      </x:c>
      <x:c r="I621" t="str">
        <x:v>pump</x:v>
      </x:c>
      <x:c r="J621" t="str">
        <x:v>P4</x:v>
      </x:c>
      <x:c r="K621" t="str">
        <x:v>TECO</x:v>
      </x:c>
      <x:c r="L621" t="str">
        <x:v>OPS+INST</x:v>
      </x:c>
      <x:c r="M621" t="str">
        <x:v>reflux_pump_degradation</x:v>
      </x:c>
      <x:c r="N621" t="str">
        <x:v>seal leak</x:v>
      </x:c>
      <x:c r="O621" t="str">
        <x:v>MECH_SEAL</x:v>
      </x:c>
      <x:c r="P621" t="str">
        <x:v>SEAL</x:v>
      </x:c>
      <x:c r="Q621" t="str">
        <x:v>N</x:v>
      </x:c>
      <x:c r="R621" t="str">
        <x:v>16.4</x:v>
      </x:c>
      <x:c r="S621" t="str">
        <x:v>6422.53</x:v>
      </x:c>
      <x:c r="T621" t="str">
        <x:v>chk P-501A - seal leak frm ops</x:v>
      </x:c>
      <x:c r="U621" t="str">
        <x:v>days called for P-501A reflux pump A, min flow hot seen during reflux pump degradation. Foud seal leak; seal face worn / dry run signs. cleaned and put back online. need watch next feed swing. notif made by ops, maint attended same shift.</x:v>
      </x:c>
    </x:row>
    <x:row r="622" ht="15" hidden="0" customHeight="1">
      <x:c r="A622" t="str">
        <x:v>10450621</x:v>
      </x:c>
      <x:c r="B622" t="str">
        <x:v>40870621</x:v>
      </x:c>
      <x:c r="C622" t="str">
        <x:v>2023-11-27</x:v>
      </x:c>
      <x:c r="D622" t="str">
        <x:v>2023-11-27</x:v>
      </x:c>
      <x:c r="E622" t="str">
        <x:v>2023-11-29</x:v>
      </x:c>
      <x:c r="F622" t="str">
        <x:v>U400-DEETHANIZER-500</x:v>
      </x:c>
      <x:c r="G622" t="str">
        <x:v>TV-502</x:v>
      </x:c>
      <x:c r="H622" t="str">
        <x:v>condenser cooling valve</x:v>
      </x:c>
      <x:c r="I622" t="str">
        <x:v>control_valve</x:v>
      </x:c>
      <x:c r="J622" t="str">
        <x:v>P3</x:v>
      </x:c>
      <x:c r="K622" t="str">
        <x:v>CLSD</x:v>
      </x:c>
      <x:c r="L622" t="str">
        <x:v>INST</x:v>
      </x:c>
      <x:c r="M622" t="str">
        <x:v>valve_stiction</x:v>
      </x:c>
      <x:c r="N622" t="str">
        <x:v>stiction</x:v>
      </x:c>
      <x:c r="O622" t="str">
        <x:v>STICK</x:v>
      </x:c>
      <x:c r="P622" t="str">
        <x:v>PACKING</x:v>
      </x:c>
      <x:c r="Q622" t="str">
        <x:v>N</x:v>
      </x:c>
      <x:c r="R622" t="str">
        <x:v>3.2</x:v>
      </x:c>
      <x:c r="S622" t="str">
        <x:v>2483.25</x:v>
      </x:c>
      <x:c r="T622" t="str">
        <x:v>TV-502 op jumps, stiction</x:v>
      </x:c>
      <x:c r="U622" t="str">
        <x:v>A shift called for TV-502 condenser cooling vavle, air leak seen during vavle stiction. Foud stiction; stem sticky and pos err. calibrated, loop checked with CCR. still little hunting but acceptable. notif made by ops, maint attended same shift.</x:v>
      </x:c>
    </x:row>
    <x:row r="623" ht="15" hidden="0" customHeight="1">
      <x:c r="A623" t="str">
        <x:v>10450622</x:v>
      </x:c>
      <x:c r="B623" t="str">
        <x:v>40870622</x:v>
      </x:c>
      <x:c r="C623" t="str">
        <x:v>2023-11-29</x:v>
      </x:c>
      <x:c r="D623" t="str">
        <x:v>2023-11-30</x:v>
      </x:c>
      <x:c r="E623" t="str">
        <x:v>2023-12-02</x:v>
      </x:c>
      <x:c r="F623" t="str">
        <x:v>U400-DEETHANIZER-500</x:v>
      </x:c>
      <x:c r="G623" t="str">
        <x:v>P-501B</x:v>
      </x:c>
      <x:c r="H623" t="str">
        <x:v>reflux pump B</x:v>
      </x:c>
      <x:c r="I623" t="str">
        <x:v>pump</x:v>
      </x:c>
      <x:c r="J623" t="str">
        <x:v>P2</x:v>
      </x:c>
      <x:c r="K623" t="str">
        <x:v>COMP</x:v>
      </x:c>
      <x:c r="L623" t="str">
        <x:v>MECH</x:v>
      </x:c>
      <x:c r="M623" t="str">
        <x:v>reflux_pump_degradation</x:v>
      </x:c>
      <x:c r="N623" t="str">
        <x:v>motor trip</x:v>
      </x:c>
      <x:c r="O623" t="str">
        <x:v>MOTOR</x:v>
      </x:c>
      <x:c r="P623" t="str">
        <x:v>ELEC</x:v>
      </x:c>
      <x:c r="Q623" t="str">
        <x:v>Y</x:v>
      </x:c>
      <x:c r="R623" t="str">
        <x:v>7.8</x:v>
      </x:c>
      <x:c r="S623" t="str">
        <x:v>11877.85</x:v>
      </x:c>
      <x:c r="T623" t="str">
        <x:v>P-501B disch press low, motor trip</x:v>
      </x:c>
      <x:c r="U623" t="str">
        <x:v>days called for P-501B reflux pump B, disch press low seen during reflux pump degradation. Foud motor trip; overload trip after upset. cleaned and put back online. still little hunting but acceptable. notif made by ops, maint attended same shift.</x:v>
      </x:c>
    </x:row>
    <x:row r="624" ht="15" hidden="0" customHeight="1">
      <x:c r="A624" t="str">
        <x:v>10450623</x:v>
      </x:c>
      <x:c r="B624" t="str">
        <x:v>40870623</x:v>
      </x:c>
      <x:c r="C624" t="str">
        <x:v>2023-11-27</x:v>
      </x:c>
      <x:c r="D624" t="str">
        <x:v>2023-11-27</x:v>
      </x:c>
      <x:c r="E624" t="str">
        <x:v>2023-11-30</x:v>
      </x:c>
      <x:c r="F624" t="str">
        <x:v>U400-DEETHANIZER-500</x:v>
      </x:c>
      <x:c r="G624" t="str">
        <x:v>E-502</x:v>
      </x:c>
      <x:c r="H624" t="str">
        <x:v>deethanizer overhead condenser</x:v>
      </x:c>
      <x:c r="I624" t="str">
        <x:v>condenser</x:v>
      </x:c>
      <x:c r="J624" t="str">
        <x:v>P3</x:v>
      </x:c>
      <x:c r="K624" t="str">
        <x:v>TECO</x:v>
      </x:c>
      <x:c r="L624" t="str">
        <x:v>VALVE</x:v>
      </x:c>
      <x:c r="M624" t="str">
        <x:v>normal_wear</x:v>
      </x:c>
      <x:c r="N624" t="str">
        <x:v>tv no travel</x:v>
      </x:c>
      <x:c r="O624" t="str">
        <x:v>VALVE</x:v>
      </x:c>
      <x:c r="P624" t="str">
        <x:v>STICK</x:v>
      </x:c>
      <x:c r="Q624" t="str">
        <x:v>N</x:v>
      </x:c>
      <x:c r="R624" t="str">
        <x:v>4.6</x:v>
      </x:c>
      <x:c r="S624" t="str">
        <x:v>2816.44</x:v>
      </x:c>
      <x:c r="T624" t="str">
        <x:v>E-502 tv no travel asap</x:v>
      </x:c>
      <x:c r="U624" t="str">
        <x:v>days called for E-502 deethanizer overhead condenser, plugged impulse seen during normal wear. Foud tv no travel; cooling valve stuck. cleaned and put back online. still little hunting but acceptable. notif made by ops, maint attended same shift.</x:v>
      </x:c>
    </x:row>
    <x:row r="625" ht="15" hidden="0" customHeight="1">
      <x:c r="A625" t="str">
        <x:v>10450624</x:v>
      </x:c>
      <x:c r="B625" t="str">
        <x:v>40870624</x:v>
      </x:c>
      <x:c r="C625" t="str">
        <x:v>2023-12-02</x:v>
      </x:c>
      <x:c r="D625" t="str">
        <x:v>2023-12-03</x:v>
      </x:c>
      <x:c r="E625" t="str">
        <x:v>2023-12-04</x:v>
      </x:c>
      <x:c r="F625" t="str">
        <x:v>U400-DEETHANIZER-500</x:v>
      </x:c>
      <x:c r="G625" t="str">
        <x:v>TV-501</x:v>
      </x:c>
      <x:c r="H625" t="str">
        <x:v>reboiler hot medium valve</x:v>
      </x:c>
      <x:c r="I625" t="str">
        <x:v>control_valve</x:v>
      </x:c>
      <x:c r="J625" t="str">
        <x:v>P3</x:v>
      </x:c>
      <x:c r="K625" t="str">
        <x:v>TECO</x:v>
      </x:c>
      <x:c r="L625" t="str">
        <x:v>OPS+MECH</x:v>
      </x:c>
      <x:c r="M625" t="str">
        <x:v>valve_stiction</x:v>
      </x:c>
      <x:c r="N625" t="str">
        <x:v>stiction</x:v>
      </x:c>
      <x:c r="O625" t="str">
        <x:v>STICK</x:v>
      </x:c>
      <x:c r="P625" t="str">
        <x:v>PACKING</x:v>
      </x:c>
      <x:c r="Q625" t="str">
        <x:v>N</x:v>
      </x:c>
      <x:c r="R625" t="str">
        <x:v>2.4</x:v>
      </x:c>
      <x:c r="S625" t="str">
        <x:v>2568.61</x:v>
      </x:c>
      <x:c r="T625" t="str">
        <x:v>TV-501 stiction asap</x:v>
      </x:c>
      <x:c r="U625" t="str">
        <x:v>A shift called for TV-501 reboiler hot medium vavle, loop cycling seen during vavle stiction. Foud stiction; stem sticky and pos err. calibrated, loop checked with CCR. unit stable now. notif made by ops, maint attended same shift.</x:v>
      </x:c>
    </x:row>
    <x:row r="626" ht="15" hidden="0" customHeight="1">
      <x:c r="A626" t="str">
        <x:v>10450625</x:v>
      </x:c>
      <x:c r="B626" t="str">
        <x:v>40870625</x:v>
      </x:c>
      <x:c r="C626" t="str">
        <x:v>2023-12-03</x:v>
      </x:c>
      <x:c r="D626" t="str">
        <x:v>2023-12-03</x:v>
      </x:c>
      <x:c r="E626" t="str">
        <x:v>2023-12-05</x:v>
      </x:c>
      <x:c r="F626" t="str">
        <x:v>U400-DEETHANIZER-500</x:v>
      </x:c>
      <x:c r="G626" t="str">
        <x:v>P-501A</x:v>
      </x:c>
      <x:c r="H626" t="str">
        <x:v>reflux pump A</x:v>
      </x:c>
      <x:c r="I626" t="str">
        <x:v>pump</x:v>
      </x:c>
      <x:c r="J626" t="str">
        <x:v>P2</x:v>
      </x:c>
      <x:c r="K626" t="str">
        <x:v>COMP</x:v>
      </x:c>
      <x:c r="L626" t="str">
        <x:v>OPS+MECH</x:v>
      </x:c>
      <x:c r="M626" t="str">
        <x:v>reflux_pump_degradation</x:v>
      </x:c>
      <x:c r="N626" t="str">
        <x:v>low disch press</x:v>
      </x:c>
      <x:c r="O626" t="str">
        <x:v>HYD_LOSS</x:v>
      </x:c>
      <x:c r="P626" t="str">
        <x:v>FOUL</x:v>
      </x:c>
      <x:c r="Q626" t="str">
        <x:v>N</x:v>
      </x:c>
      <x:c r="R626" t="str">
        <x:v>4.0</x:v>
      </x:c>
      <x:c r="S626" t="str">
        <x:v>9987.42</x:v>
      </x:c>
      <x:c r="T626" t="str">
        <x:v>P-501A seal weep, low disch press</x:v>
      </x:c>
      <x:c r="U626" t="str">
        <x:v>B shift called for P-501A reflux pump A, disch press low seen during reflux pump degradation. Foud low disch press; strainer dirty or impeller wear. Line was hot so job done slow and with ops standing by. flushed impulse/sample line. still little hunting but acceptable. notif made by ops, maint attended same shift.</x:v>
      </x:c>
    </x:row>
    <x:row r="627" ht="15" hidden="0" customHeight="1">
      <x:c r="A627" t="str">
        <x:v>10450626</x:v>
      </x:c>
      <x:c r="B627" t="str">
        <x:v>40870626</x:v>
      </x:c>
      <x:c r="C627" t="str">
        <x:v>2023-12-02</x:v>
      </x:c>
      <x:c r="D627" t="str">
        <x:v>2023-12-02</x:v>
      </x:c>
      <x:c r="E627" t="str">
        <x:v>2023-12-02</x:v>
      </x:c>
      <x:c r="F627" t="str">
        <x:v>U400-DEETHANIZER-500</x:v>
      </x:c>
      <x:c r="G627" t="str">
        <x:v>TT-503</x:v>
      </x:c>
      <x:c r="H627" t="str">
        <x:v>reboiler outlet temperature tx</x:v>
      </x:c>
      <x:c r="I627" t="str">
        <x:v>instrument</x:v>
      </x:c>
      <x:c r="J627" t="str">
        <x:v>P2</x:v>
      </x:c>
      <x:c r="K627" t="str">
        <x:v>CLSD</x:v>
      </x:c>
      <x:c r="L627" t="str">
        <x:v>E&amp;I</x:v>
      </x:c>
      <x:c r="M627" t="str">
        <x:v>feed_temperature_ramp</x:v>
      </x:c>
      <x:c r="N627" t="str">
        <x:v>no signal</x:v>
      </x:c>
      <x:c r="O627" t="str">
        <x:v>NO_SIGNAL</x:v>
      </x:c>
      <x:c r="P627" t="str">
        <x:v>ELEC</x:v>
      </x:c>
      <x:c r="Q627" t="str">
        <x:v>Y</x:v>
      </x:c>
      <x:c r="R627" t="str">
        <x:v>15.5</x:v>
      </x:c>
      <x:c r="S627" t="str">
        <x:v>4283.92</x:v>
      </x:c>
      <x:c r="T627" t="str">
        <x:v>TT-503 ovhd press moving, no signal</x:v>
      </x:c>
      <x:c r="U627" t="str">
        <x:v>C shift called for TT-503 reboiler outlet temperature tx, rb duty up seen during feed temperature ramp. Foud no signal; 24v or card issue. swapped to standby and repaired. unit stable now. notif made by ops, maint attended same shift.</x:v>
      </x:c>
    </x:row>
    <x:row r="628" ht="15" hidden="0" customHeight="1">
      <x:c r="A628" t="str">
        <x:v>10450627</x:v>
      </x:c>
      <x:c r="B628" t="str">
        <x:v>40870627</x:v>
      </x:c>
      <x:c r="C628" t="str">
        <x:v>2023-12-02</x:v>
      </x:c>
      <x:c r="D628" t="str">
        <x:v>2023-12-02</x:v>
      </x:c>
      <x:c r="E628" t="str">
        <x:v>2023-12-05</x:v>
      </x:c>
      <x:c r="F628" t="str">
        <x:v>U400-DEETHANIZER-500</x:v>
      </x:c>
      <x:c r="G628" t="str">
        <x:v>TT-501B</x:v>
      </x:c>
      <x:c r="H628" t="str">
        <x:v>sensitive tray temperature tx</x:v>
      </x:c>
      <x:c r="I628" t="str">
        <x:v>instrument</x:v>
      </x:c>
      <x:c r="J628" t="str">
        <x:v>P4</x:v>
      </x:c>
      <x:c r="K628" t="str">
        <x:v>COMP</x:v>
      </x:c>
      <x:c r="L628" t="str">
        <x:v>OPS+INST</x:v>
      </x:c>
      <x:c r="M628" t="str">
        <x:v>condenser_fouling</x:v>
      </x:c>
      <x:c r="N628" t="str">
        <x:v>no signal</x:v>
      </x:c>
      <x:c r="O628" t="str">
        <x:v>NO_SIGNAL</x:v>
      </x:c>
      <x:c r="P628" t="str">
        <x:v>ELEC</x:v>
      </x:c>
      <x:c r="Q628" t="str">
        <x:v>N</x:v>
      </x:c>
      <x:c r="R628" t="str">
        <x:v>5.4</x:v>
      </x:c>
      <x:c r="S628" t="str">
        <x:v>1399.34</x:v>
      </x:c>
      <x:c r="T628" t="str">
        <x:v>TT-501B no signal chk &amp; revert</x:v>
      </x:c>
      <x:c r="U628" t="str">
        <x:v>C shift called for TT-501B sensitive tray temperature tx, pic wide open seen during condnsr fouling. Foud no signal; 24v or card issue. tightened fittings, leak test ok. unit stable now. notif made by ops, maint attended same shift.</x:v>
      </x:c>
    </x:row>
    <x:row r="629" ht="15" hidden="0" customHeight="1">
      <x:c r="A629" t="str">
        <x:v>10450628</x:v>
      </x:c>
      <x:c r="B629" t="str">
        <x:v>40870628</x:v>
      </x:c>
      <x:c r="C629" t="str">
        <x:v>2023-12-05</x:v>
      </x:c>
      <x:c r="D629" t="str">
        <x:v>2023-12-05</x:v>
      </x:c>
      <x:c r="E629" t="str">
        <x:v>2023-12-06</x:v>
      </x:c>
      <x:c r="F629" t="str">
        <x:v>U400-DEETHANIZER-500</x:v>
      </x:c>
      <x:c r="G629" t="str">
        <x:v>E-503</x:v>
      </x:c>
      <x:c r="H629" t="str">
        <x:v>feed bottoms exchanger</x:v>
      </x:c>
      <x:c r="I629" t="str">
        <x:v>exchanger</x:v>
      </x:c>
      <x:c r="J629" t="str">
        <x:v>P2</x:v>
      </x:c>
      <x:c r="K629" t="str">
        <x:v>COMP</x:v>
      </x:c>
      <x:c r="L629" t="str">
        <x:v>ROT</x:v>
      </x:c>
      <x:c r="M629" t="str">
        <x:v>condenser_fouling</x:v>
      </x:c>
      <x:c r="N629" t="str">
        <x:v>tube fouling</x:v>
      </x:c>
      <x:c r="O629" t="str">
        <x:v>FOULING</x:v>
      </x:c>
      <x:c r="P629" t="str">
        <x:v>PROCESS</x:v>
      </x:c>
      <x:c r="Q629" t="str">
        <x:v>N</x:v>
      </x:c>
      <x:c r="R629" t="str">
        <x:v>1.7</x:v>
      </x:c>
      <x:c r="S629" t="str">
        <x:v>13117.25</x:v>
      </x:c>
      <x:c r="T629" t="str">
        <x:v>chk E-503 - tube fouling frm ops</x:v>
      </x:c>
      <x:c r="U629" t="str">
        <x:v>night called for E-503 feed bottoms exchanger, high ovhd press seen during condenser fouling. Foud tube fouling; duty low, delta t poor. Tag plate dirty, confirmd by line up with panel. replaced positioner tubing and retuned small. still little hunting but acceptable. notif made by ops, maint attended same shift.</x:v>
      </x:c>
    </x:row>
    <x:row r="630" ht="15" hidden="0" customHeight="1">
      <x:c r="A630" t="str">
        <x:v>10450629</x:v>
      </x:c>
      <x:c r="B630" t="str">
        <x:v>40870629</x:v>
      </x:c>
      <x:c r="C630" t="str">
        <x:v>2023-12-04</x:v>
      </x:c>
      <x:c r="D630" t="str">
        <x:v>2023-12-05</x:v>
      </x:c>
      <x:c r="E630" t="str">
        <x:v>2023-12-06</x:v>
      </x:c>
      <x:c r="F630" t="str">
        <x:v>U400-DEETHANIZER-500</x:v>
      </x:c>
      <x:c r="G630" t="str">
        <x:v>TT-501B</x:v>
      </x:c>
      <x:c r="H630" t="str">
        <x:v>sensitive tray temperature tx</x:v>
      </x:c>
      <x:c r="I630" t="str">
        <x:v>instrument</x:v>
      </x:c>
      <x:c r="J630" t="str">
        <x:v>P1</x:v>
      </x:c>
      <x:c r="K630" t="str">
        <x:v>CLSD</x:v>
      </x:c>
      <x:c r="L630" t="str">
        <x:v>INST</x:v>
      </x:c>
      <x:c r="M630" t="str">
        <x:v>feed_temperature_ramp</x:v>
      </x:c>
      <x:c r="N630" t="str">
        <x:v>no signal</x:v>
      </x:c>
      <x:c r="O630" t="str">
        <x:v>NO_SIGNAL</x:v>
      </x:c>
      <x:c r="P630" t="str">
        <x:v>ELEC</x:v>
      </x:c>
      <x:c r="Q630" t="str">
        <x:v>N</x:v>
      </x:c>
      <x:c r="R630" t="str">
        <x:v>14.2</x:v>
      </x:c>
      <x:c r="S630" t="str">
        <x:v>5776.35</x:v>
      </x:c>
      <x:c r="T630" t="str">
        <x:v>TT-501B no signal again, prod upset</x:v>
      </x:c>
      <x:c r="U630" t="str">
        <x:v>C shift called for TT-501B sensitive tray temperature tx, spec off seen during feed temperature ramp. Foud no signal; 24v or card issue. Could not get permit first time waiting area gas test. replaced positioner tubing and retuned small. still little hunting but acceptable. notif made by ops, maint attended same shift.</x:v>
      </x:c>
    </x:row>
    <x:row r="631" ht="15" hidden="0" customHeight="1">
      <x:c r="A631" t="str">
        <x:v>10450630</x:v>
      </x:c>
      <x:c r="B631" t="str">
        <x:v>40870630</x:v>
      </x:c>
      <x:c r="C631" t="str">
        <x:v>2023-12-10</x:v>
      </x:c>
      <x:c r="D631" t="str">
        <x:v>2023-12-10</x:v>
      </x:c>
      <x:c r="E631" t="str">
        <x:v>2023-12-13</x:v>
      </x:c>
      <x:c r="F631" t="str">
        <x:v>U400-DEETHANIZER-500</x:v>
      </x:c>
      <x:c r="G631" t="str">
        <x:v>P-501A</x:v>
      </x:c>
      <x:c r="H631" t="str">
        <x:v>reflux pump A</x:v>
      </x:c>
      <x:c r="I631" t="str">
        <x:v>pump</x:v>
      </x:c>
      <x:c r="J631" t="str">
        <x:v>P1</x:v>
      </x:c>
      <x:c r="K631" t="str">
        <x:v>COMP</x:v>
      </x:c>
      <x:c r="L631" t="str">
        <x:v>ROT</x:v>
      </x:c>
      <x:c r="M631" t="str">
        <x:v>reflux_pump_degradation</x:v>
      </x:c>
      <x:c r="N631" t="str">
        <x:v>bearing hot</x:v>
      </x:c>
      <x:c r="O631" t="str">
        <x:v>BRG</x:v>
      </x:c>
      <x:c r="P631" t="str">
        <x:v>WEAR</x:v>
      </x:c>
      <x:c r="Q631" t="str">
        <x:v>N</x:v>
      </x:c>
      <x:c r="R631" t="str">
        <x:v>4.6</x:v>
      </x:c>
      <x:c r="S631" t="str">
        <x:v>3882.11</x:v>
      </x:c>
      <x:c r="T631" t="str">
        <x:v>P-501A bearing hot again, prod upset</x:v>
      </x:c>
      <x:c r="U631" t="str">
        <x:v>B shift called for P-501A reflux pump A, min flow hot seen during reflux pump degradation. Foud bearing hot; brg rough, lube dark. reset trip and monitored for 2 hrs. no leak at handover. notif made by ops, maint attended same shift.</x:v>
      </x:c>
    </x:row>
    <x:row r="632" ht="15" hidden="0" customHeight="1">
      <x:c r="A632" t="str">
        <x:v>10450631</x:v>
      </x:c>
      <x:c r="B632" t="str">
        <x:v>40870631</x:v>
      </x:c>
      <x:c r="C632" t="str">
        <x:v>2023-12-11</x:v>
      </x:c>
      <x:c r="D632" t="str">
        <x:v>2023-12-11</x:v>
      </x:c>
      <x:c r="E632" t="str">
        <x:v>2023-12-16</x:v>
      </x:c>
      <x:c r="F632" t="str">
        <x:v>U400-DEETHANIZER-500</x:v>
      </x:c>
      <x:c r="G632" t="str">
        <x:v>TV-502</x:v>
      </x:c>
      <x:c r="H632" t="str">
        <x:v>condenser cooling valve</x:v>
      </x:c>
      <x:c r="I632" t="str">
        <x:v>control_valve</x:v>
      </x:c>
      <x:c r="J632" t="str">
        <x:v>P2</x:v>
      </x:c>
      <x:c r="K632" t="str">
        <x:v>TECO</x:v>
      </x:c>
      <x:c r="L632" t="str">
        <x:v>E&amp;I</x:v>
      </x:c>
      <x:c r="M632" t="str">
        <x:v>valve_stiction</x:v>
      </x:c>
      <x:c r="N632" t="str">
        <x:v>not stroking</x:v>
      </x:c>
      <x:c r="O632" t="str">
        <x:v>NO_TRAVEL</x:v>
      </x:c>
      <x:c r="P632" t="str">
        <x:v>ACT</x:v>
      </x:c>
      <x:c r="Q632" t="str">
        <x:v>N</x:v>
      </x:c>
      <x:c r="R632" t="str">
        <x:v>2.6</x:v>
      </x:c>
      <x:c r="S632" t="str">
        <x:v>2641.15</x:v>
      </x:c>
      <x:c r="T632" t="str">
        <x:v>TV-502 not stroking ops req</x:v>
      </x:c>
      <x:c r="U632" t="str">
        <x:v>days called for TV-502 condenser cooling valve, valve sticking seen during valve stiction. Foud not stroking; actuator weak. swapped to standby and repaired. ops says ok for now. notif made by ops, maint attended same shift.</x:v>
      </x:c>
    </x:row>
    <x:row r="633" ht="15" hidden="0" customHeight="1">
      <x:c r="A633" t="str">
        <x:v>10450632</x:v>
      </x:c>
      <x:c r="B633" t="str">
        <x:v>40870632</x:v>
      </x:c>
      <x:c r="C633" t="str">
        <x:v>2023-12-10</x:v>
      </x:c>
      <x:c r="D633" t="str">
        <x:v>2023-12-10</x:v>
      </x:c>
      <x:c r="E633" t="str">
        <x:v>2023-12-11</x:v>
      </x:c>
      <x:c r="F633" t="str">
        <x:v>U400-DEETHANIZER-500</x:v>
      </x:c>
      <x:c r="G633" t="str">
        <x:v>P-501A</x:v>
      </x:c>
      <x:c r="H633" t="str">
        <x:v>reflux pump A</x:v>
      </x:c>
      <x:c r="I633" t="str">
        <x:v>pump</x:v>
      </x:c>
      <x:c r="J633" t="str">
        <x:v>P2</x:v>
      </x:c>
      <x:c r="K633" t="str">
        <x:v>CLSD</x:v>
      </x:c>
      <x:c r="L633" t="str">
        <x:v>OPS+MECH</x:v>
      </x:c>
      <x:c r="M633" t="str">
        <x:v>reboiler_duty_loss</x:v>
      </x:c>
      <x:c r="N633" t="str">
        <x:v>low disch press</x:v>
      </x:c>
      <x:c r="O633" t="str">
        <x:v>HYD_LOSS</x:v>
      </x:c>
      <x:c r="P633" t="str">
        <x:v>FOUL</x:v>
      </x:c>
      <x:c r="Q633" t="str">
        <x:v>N</x:v>
      </x:c>
      <x:c r="R633" t="str">
        <x:v>14.3</x:v>
      </x:c>
      <x:c r="S633" t="str">
        <x:v>6950.32</x:v>
      </x:c>
      <x:c r="T633" t="str">
        <x:v>P-501A steam/hm valve no resp, low disch press</x:v>
      </x:c>
      <x:c r="U633" t="str">
        <x:v>A shift called for P-501A reflux pump A, tray temp low seen during reboiler duty loss. Foud low disch press; strainer dirty or impeller wear. Could not get permit first time waiting area gas test. calibrated, loop chekd with CCR. ops says ok for now. notif made by ops, maint attended same shift.</x:v>
      </x:c>
    </x:row>
    <x:row r="634" ht="15" hidden="0" customHeight="1">
      <x:c r="A634" t="str">
        <x:v>10450633</x:v>
      </x:c>
      <x:c r="B634" t="str">
        <x:v>40870633</x:v>
      </x:c>
      <x:c r="C634" t="str">
        <x:v>2023-12-13</x:v>
      </x:c>
      <x:c r="D634" t="str">
        <x:v>2023-12-13</x:v>
      </x:c>
      <x:c r="E634" t="str">
        <x:v>2023-12-13</x:v>
      </x:c>
      <x:c r="F634" t="str">
        <x:v>U400-DEETHANIZER-500</x:v>
      </x:c>
      <x:c r="G634" t="str">
        <x:v>P-501A</x:v>
      </x:c>
      <x:c r="H634" t="str">
        <x:v>reflux pump A</x:v>
      </x:c>
      <x:c r="I634" t="str">
        <x:v>pump</x:v>
      </x:c>
      <x:c r="J634" t="str">
        <x:v>P3</x:v>
      </x:c>
      <x:c r="K634" t="str">
        <x:v>TECO</x:v>
      </x:c>
      <x:c r="L634" t="str">
        <x:v>VALVE</x:v>
      </x:c>
      <x:c r="M634" t="str">
        <x:v>feed_temperature_ramp</x:v>
      </x:c>
      <x:c r="N634" t="str">
        <x:v>seal leak</x:v>
      </x:c>
      <x:c r="O634" t="str">
        <x:v>MECH_SEAL</x:v>
      </x:c>
      <x:c r="P634" t="str">
        <x:v>SEAL</x:v>
      </x:c>
      <x:c r="Q634" t="str">
        <x:v>N</x:v>
      </x:c>
      <x:c r="R634" t="str">
        <x:v>12.1</x:v>
      </x:c>
      <x:c r="S634" t="str">
        <x:v>7542.55</x:v>
      </x:c>
      <x:c r="T634" t="str">
        <x:v>P-501A not ok after feed temperature ramp</x:v>
      </x:c>
      <x:c r="U634" t="str">
        <x:v>B shift called for P-501A reflux pump A, ovhd press moving seen during feed temperature ramp. Foud seal leak; seal face worn / dry run signs. cleaned and put back online. unit stable now. notif made by ops, maint attended same shift.</x:v>
      </x:c>
    </x:row>
    <x:row r="635" ht="15" hidden="0" customHeight="1">
      <x:c r="A635" t="str">
        <x:v>10450634</x:v>
      </x:c>
      <x:c r="B635" t="str">
        <x:v>40870634</x:v>
      </x:c>
      <x:c r="C635" t="str">
        <x:v>2023-12-14</x:v>
      </x:c>
      <x:c r="D635" t="str">
        <x:v>2023-12-14</x:v>
      </x:c>
      <x:c r="E635" t="str">
        <x:v>2023-12-15</x:v>
      </x:c>
      <x:c r="F635" t="str">
        <x:v>U400-DEETHANIZER-500</x:v>
      </x:c>
      <x:c r="G635" t="str">
        <x:v>TV-502</x:v>
      </x:c>
      <x:c r="H635" t="str">
        <x:v>condenser cooling valve</x:v>
      </x:c>
      <x:c r="I635" t="str">
        <x:v>control_valve</x:v>
      </x:c>
      <x:c r="J635" t="str">
        <x:v>P4</x:v>
      </x:c>
      <x:c r="K635" t="str">
        <x:v>TECO</x:v>
      </x:c>
      <x:c r="L635" t="str">
        <x:v>E&amp;I</x:v>
      </x:c>
      <x:c r="M635" t="str">
        <x:v>valve_stiction</x:v>
      </x:c>
      <x:c r="N635" t="str">
        <x:v>hunting loop</x:v>
      </x:c>
      <x:c r="O635" t="str">
        <x:v>CTRL_OSC</x:v>
      </x:c>
      <x:c r="P635" t="str">
        <x:v>TUNE</x:v>
      </x:c>
      <x:c r="Q635" t="str">
        <x:v>N</x:v>
      </x:c>
      <x:c r="R635" t="str">
        <x:v>1.4</x:v>
      </x:c>
      <x:c r="S635" t="str">
        <x:v>2243.79</x:v>
      </x:c>
      <x:c r="T635" t="str">
        <x:v>TV-502 not ok after vavle stiction</x:v>
      </x:c>
      <x:c r="U635" t="str">
        <x:v>days called for TV-502 condenser cooling valve, loop cycling seen during valve stiction. Foud hunting loop; bad response after upset. History shows same complain last mnth. tightened fittings, leak test ok. still little hunting but acceptable. notif made by ops, maint attended same shift.</x:v>
      </x:c>
    </x:row>
    <x:row r="636" ht="15" hidden="0" customHeight="1">
      <x:c r="A636" t="str">
        <x:v>10450635</x:v>
      </x:c>
      <x:c r="B636" t="str">
        <x:v>40870635</x:v>
      </x:c>
      <x:c r="C636" t="str">
        <x:v>2023-12-14</x:v>
      </x:c>
      <x:c r="D636" t="str">
        <x:v>2023-12-15</x:v>
      </x:c>
      <x:c r="E636" t="str">
        <x:v>2023-12-15</x:v>
      </x:c>
      <x:c r="F636" t="str">
        <x:v>U400-DEETHANIZER-500</x:v>
      </x:c>
      <x:c r="G636" t="str">
        <x:v>PT-501</x:v>
      </x:c>
      <x:c r="H636" t="str">
        <x:v>column overhead pressure tx</x:v>
      </x:c>
      <x:c r="I636" t="str">
        <x:v>instrument</x:v>
      </x:c>
      <x:c r="J636" t="str">
        <x:v>P3</x:v>
      </x:c>
      <x:c r="K636" t="str">
        <x:v>TECO</x:v>
      </x:c>
      <x:c r="L636" t="str">
        <x:v>OPS+INST</x:v>
      </x:c>
      <x:c r="M636" t="str">
        <x:v>condenser_fouling</x:v>
      </x:c>
      <x:c r="N636" t="str">
        <x:v>no signal</x:v>
      </x:c>
      <x:c r="O636" t="str">
        <x:v>NO_SIGNAL</x:v>
      </x:c>
      <x:c r="P636" t="str">
        <x:v>ELEC</x:v>
      </x:c>
      <x:c r="Q636" t="str">
        <x:v>N</x:v>
      </x:c>
      <x:c r="R636" t="str">
        <x:v>11.0</x:v>
      </x:c>
      <x:c r="S636" t="str">
        <x:v>3829.93</x:v>
      </x:c>
      <x:c r="T636" t="str">
        <x:v>PT-501 no signal again, prod upset</x:v>
      </x:c>
      <x:c r="U636" t="str">
        <x:v>C shift called for PT-501 column overhead pressure tx, cw dt low seen during condenser fouling. Foud no signal; 24v or card issue. No spare in store at first, used refurb one from shop. stroke tested, response better. ops says ok for now. notif made by ops, maint attended same shift.</x:v>
      </x:c>
    </x:row>
    <x:row r="637" ht="15" hidden="0" customHeight="1">
      <x:c r="A637" t="str">
        <x:v>10450636</x:v>
      </x:c>
      <x:c r="B637" t="str">
        <x:v>40870636</x:v>
      </x:c>
      <x:c r="C637" t="str">
        <x:v>2023-12-18</x:v>
      </x:c>
      <x:c r="D637" t="str">
        <x:v>2023-12-20</x:v>
      </x:c>
      <x:c r="E637" t="str">
        <x:v>2023-12-23</x:v>
      </x:c>
      <x:c r="F637" t="str">
        <x:v>U400-DEETHANIZER-500</x:v>
      </x:c>
      <x:c r="G637" t="str">
        <x:v>P-501B</x:v>
      </x:c>
      <x:c r="H637" t="str">
        <x:v>reflux pump B</x:v>
      </x:c>
      <x:c r="I637" t="str">
        <x:v>pump</x:v>
      </x:c>
      <x:c r="J637" t="str">
        <x:v>P2</x:v>
      </x:c>
      <x:c r="K637" t="str">
        <x:v>TECO</x:v>
      </x:c>
      <x:c r="L637" t="str">
        <x:v>OPS+MECH</x:v>
      </x:c>
      <x:c r="M637" t="str">
        <x:v>reflux_pump_degradation</x:v>
      </x:c>
      <x:c r="N637" t="str">
        <x:v>motor trip</x:v>
      </x:c>
      <x:c r="O637" t="str">
        <x:v>MOTOR</x:v>
      </x:c>
      <x:c r="P637" t="str">
        <x:v>ELEC</x:v>
      </x:c>
      <x:c r="Q637" t="str">
        <x:v>N</x:v>
      </x:c>
      <x:c r="R637" t="str">
        <x:v>12.6</x:v>
      </x:c>
      <x:c r="S637" t="str">
        <x:v>5227.46</x:v>
      </x:c>
      <x:c r="T637" t="str">
        <x:v>P-501B not ok after reflux pump degradation</x:v>
      </x:c>
      <x:c r="U637" t="str">
        <x:v>days called for P-501B rflx pump B, min flow hot seen during rflx pump degradation. Foud motor trip; overload trip after upset. History shows same complain last mnth. swapped to standby and repaired. temp repair only, plan shutdown job. notif made by ops, maint attended same shift.</x:v>
      </x:c>
    </x:row>
    <x:row r="638" ht="15" hidden="0" customHeight="1">
      <x:c r="A638" t="str">
        <x:v>10450637</x:v>
      </x:c>
      <x:c r="B638" t="str">
        <x:v>40870637</x:v>
      </x:c>
      <x:c r="C638" t="str">
        <x:v>2023-12-16</x:v>
      </x:c>
      <x:c r="D638" t="str">
        <x:v>2023-12-17</x:v>
      </x:c>
      <x:c r="E638" t="str">
        <x:v>2023-12-20</x:v>
      </x:c>
      <x:c r="F638" t="str">
        <x:v>U400-DEETHANIZER-500</x:v>
      </x:c>
      <x:c r="G638" t="str">
        <x:v>E-501</x:v>
      </x:c>
      <x:c r="H638" t="str">
        <x:v>deethanizer reboiler</x:v>
      </x:c>
      <x:c r="I638" t="str">
        <x:v>reboiler</x:v>
      </x:c>
      <x:c r="J638" t="str">
        <x:v>P3</x:v>
      </x:c>
      <x:c r="K638" t="str">
        <x:v>CLSD</x:v>
      </x:c>
      <x:c r="L638" t="str">
        <x:v>OPS+INST</x:v>
      </x:c>
      <x:c r="M638" t="str">
        <x:v>reboiler_duty_loss</x:v>
      </x:c>
      <x:c r="N638" t="str">
        <x:v>low duty</x:v>
      </x:c>
      <x:c r="O638" t="str">
        <x:v>DUTY_LOSS</x:v>
      </x:c>
      <x:c r="P638" t="str">
        <x:v>UTILITY</x:v>
      </x:c>
      <x:c r="Q638" t="str">
        <x:v>N</x:v>
      </x:c>
      <x:c r="R638" t="str">
        <x:v>17.2</x:v>
      </x:c>
      <x:c r="S638" t="str">
        <x:v>13784.89</x:v>
      </x:c>
      <x:c r="T638" t="str">
        <x:v>E-501 low duty again, prod upset</x:v>
      </x:c>
      <x:c r="U638" t="str">
        <x:v>days called for E-501 deethanizer reboiler, rb circ cold seen during reboiler duty loss. Foud low duty; hm valve/strainer issue. History shows same complain last mnth. changed gasket and boxed up. unit stable now. notif made by ops, maint attended same shift.</x:v>
      </x:c>
    </x:row>
    <x:row r="639" ht="15" hidden="0" customHeight="1">
      <x:c r="A639" t="str">
        <x:v>10450638</x:v>
      </x:c>
      <x:c r="B639" t="str">
        <x:v>40870638</x:v>
      </x:c>
      <x:c r="C639" t="str">
        <x:v>2023-12-21</x:v>
      </x:c>
      <x:c r="D639" t="str">
        <x:v>2023-12-21</x:v>
      </x:c>
      <x:c r="E639" t="str">
        <x:v>2023-12-23</x:v>
      </x:c>
      <x:c r="F639" t="str">
        <x:v>U400-DEETHANIZER-500</x:v>
      </x:c>
      <x:c r="G639" t="str">
        <x:v>FT-502</x:v>
      </x:c>
      <x:c r="H639" t="str">
        <x:v>reflux flow transmitter</x:v>
      </x:c>
      <x:c r="I639" t="str">
        <x:v>instrument</x:v>
      </x:c>
      <x:c r="J639" t="str">
        <x:v>P1</x:v>
      </x:c>
      <x:c r="K639" t="str">
        <x:v>TECO</x:v>
      </x:c>
      <x:c r="L639" t="str">
        <x:v>OPS+INST</x:v>
      </x:c>
      <x:c r="M639" t="str">
        <x:v>reflux_pump_degradation</x:v>
      </x:c>
      <x:c r="N639" t="str">
        <x:v>loose wire</x:v>
      </x:c>
      <x:c r="O639" t="str">
        <x:v>SIGNAL</x:v>
      </x:c>
      <x:c r="P639" t="str">
        <x:v>ELEC</x:v>
      </x:c>
      <x:c r="Q639" t="str">
        <x:v>Y</x:v>
      </x:c>
      <x:c r="R639" t="str">
        <x:v>17.4</x:v>
      </x:c>
      <x:c r="S639" t="str">
        <x:v>6595.33</x:v>
      </x:c>
      <x:c r="T639" t="str">
        <x:v>chk FT-502 - loose wire frm ops</x:v>
      </x:c>
      <x:c r="U639" t="str">
        <x:v>days called for FT-502 rflx flow transmitter, low rflx seen during rflx pump degradation. Foud loose wire; term loose. Tag plate dirty, confirmd by line up with panel. tightened fittings, leak test ok. temp repair only, plan shutdown job. notif made by ops, maint attended same shift.</x:v>
      </x:c>
    </x:row>
    <x:row r="640" ht="15" hidden="0" customHeight="1">
      <x:c r="A640" t="str">
        <x:v>10450639</x:v>
      </x:c>
      <x:c r="B640" t="str">
        <x:v>40870639</x:v>
      </x:c>
      <x:c r="C640" t="str">
        <x:v>2023-12-23</x:v>
      </x:c>
      <x:c r="D640" t="str">
        <x:v>2023-12-24</x:v>
      </x:c>
      <x:c r="E640" t="str">
        <x:v>2023-12-26</x:v>
      </x:c>
      <x:c r="F640" t="str">
        <x:v>U400-DEETHANIZER-500</x:v>
      </x:c>
      <x:c r="G640" t="str">
        <x:v>E-502</x:v>
      </x:c>
      <x:c r="H640" t="str">
        <x:v>deethanizer overhead condenser</x:v>
      </x:c>
      <x:c r="I640" t="str">
        <x:v>condenser</x:v>
      </x:c>
      <x:c r="J640" t="str">
        <x:v>P2</x:v>
      </x:c>
      <x:c r="K640" t="str">
        <x:v>COMP</x:v>
      </x:c>
      <x:c r="L640" t="str">
        <x:v>INST</x:v>
      </x:c>
      <x:c r="M640" t="str">
        <x:v>normal_wear</x:v>
      </x:c>
      <x:c r="N640" t="str">
        <x:v>high press</x:v>
      </x:c>
      <x:c r="O640" t="str">
        <x:v>PERF</x:v>
      </x:c>
      <x:c r="P640" t="str">
        <x:v>FOUL</x:v>
      </x:c>
      <x:c r="Q640" t="str">
        <x:v>N</x:v>
      </x:c>
      <x:c r="R640" t="str">
        <x:v>6.5</x:v>
      </x:c>
      <x:c r="S640" t="str">
        <x:v>7927.44</x:v>
      </x:c>
      <x:c r="T640" t="str">
        <x:v>E-502 high press again, prod upset</x:v>
      </x:c>
      <x:c r="U640" t="str">
        <x:v>A shift called for E-502 deethanizer overhead condenser, leak seen during normal wear. Foud high press; condensing duty poor. Could not get permit first time waiting area gas test. changed gasket and boxed up. ops says ok for now. notif made by ops, maint attended same shift.</x:v>
      </x:c>
    </x:row>
    <x:row r="641" ht="15" hidden="0" customHeight="1">
      <x:c r="A641" t="str">
        <x:v>10450640</x:v>
      </x:c>
      <x:c r="B641" t="str">
        <x:v>40870640</x:v>
      </x:c>
      <x:c r="C641" t="str">
        <x:v>2023-12-25</x:v>
      </x:c>
      <x:c r="D641" t="str">
        <x:v>2023-12-25</x:v>
      </x:c>
      <x:c r="E641" t="str">
        <x:v>2023-12-26</x:v>
      </x:c>
      <x:c r="F641" t="str">
        <x:v>U400-DEETHANIZER-500</x:v>
      </x:c>
      <x:c r="G641" t="str">
        <x:v>FT-501</x:v>
      </x:c>
      <x:c r="H641" t="str">
        <x:v>feed flow transmitter</x:v>
      </x:c>
      <x:c r="I641" t="str">
        <x:v>instrument</x:v>
      </x:c>
      <x:c r="J641" t="str">
        <x:v>P4</x:v>
      </x:c>
      <x:c r="K641" t="str">
        <x:v>COMP</x:v>
      </x:c>
      <x:c r="L641" t="str">
        <x:v>E&amp;I</x:v>
      </x:c>
      <x:c r="M641" t="str">
        <x:v>feed_flow_step</x:v>
      </x:c>
      <x:c r="N641" t="str">
        <x:v>loose wire</x:v>
      </x:c>
      <x:c r="O641" t="str">
        <x:v>SIGNAL</x:v>
      </x:c>
      <x:c r="P641" t="str">
        <x:v>ELEC</x:v>
      </x:c>
      <x:c r="Q641" t="str">
        <x:v>N</x:v>
      </x:c>
      <x:c r="R641" t="str">
        <x:v>4.3</x:v>
      </x:c>
      <x:c r="S641" t="str">
        <x:v>4828.41</x:v>
      </x:c>
      <x:c r="T641" t="str">
        <x:v>FT-501 not ok after feed flow step</x:v>
      </x:c>
      <x:c r="U641" t="str">
        <x:v>C shift called for FT-501 feed flow transmitter, lvl swing seen during feed flow step. Foud loose wire; term loose. swapped to standby and repaired. readng close to dcs after job. notif made by ops, maint attended same shift.</x:v>
      </x:c>
    </x:row>
    <x:row r="642" ht="15" hidden="0" customHeight="1">
      <x:c r="A642" t="str">
        <x:v>10450641</x:v>
      </x:c>
      <x:c r="B642" t="str">
        <x:v>40870641</x:v>
      </x:c>
      <x:c r="C642" t="str">
        <x:v>2023-12-24</x:v>
      </x:c>
      <x:c r="D642" t="str">
        <x:v>2023-12-25</x:v>
      </x:c>
      <x:c r="E642" t="str">
        <x:v>2023-12-26</x:v>
      </x:c>
      <x:c r="F642" t="str">
        <x:v>U400-DEETHANIZER-500</x:v>
      </x:c>
      <x:c r="G642" t="str">
        <x:v>P-501B</x:v>
      </x:c>
      <x:c r="H642" t="str">
        <x:v>reflux pump B</x:v>
      </x:c>
      <x:c r="I642" t="str">
        <x:v>pump</x:v>
      </x:c>
      <x:c r="J642" t="str">
        <x:v>P2</x:v>
      </x:c>
      <x:c r="K642" t="str">
        <x:v>TECO</x:v>
      </x:c>
      <x:c r="L642" t="str">
        <x:v>E&amp;I</x:v>
      </x:c>
      <x:c r="M642" t="str">
        <x:v>reflux_pump_degradation</x:v>
      </x:c>
      <x:c r="N642" t="str">
        <x:v>bearing hot</x:v>
      </x:c>
      <x:c r="O642" t="str">
        <x:v>BRG</x:v>
      </x:c>
      <x:c r="P642" t="str">
        <x:v>WEAR</x:v>
      </x:c>
      <x:c r="Q642" t="str">
        <x:v>Y</x:v>
      </x:c>
      <x:c r="R642" t="str">
        <x:v>22.8</x:v>
      </x:c>
      <x:c r="S642" t="str">
        <x:v>8305.88</x:v>
      </x:c>
      <x:c r="T642" t="str">
        <x:v>P-501B not ok after reflux pump degradation</x:v>
      </x:c>
      <x:c r="U642" t="str">
        <x:v>C shift called for P-501B reflux pump B, min flow hot seen during reflux pump degradation. Foud bearing hot; brg rough, lube dark. No spare in store at first, used refurb one from shop. stroke tested, response better. still little hunting but acceptable. notif made by ops, maint attended same shift.</x:v>
      </x:c>
    </x:row>
    <x:row r="643" ht="15" hidden="0" customHeight="1">
      <x:c r="A643" t="str">
        <x:v>10450642</x:v>
      </x:c>
      <x:c r="B643" t="str">
        <x:v>40870642</x:v>
      </x:c>
      <x:c r="C643" t="str">
        <x:v>2023-12-24</x:v>
      </x:c>
      <x:c r="D643" t="str">
        <x:v>2023-12-24</x:v>
      </x:c>
      <x:c r="E643" t="str">
        <x:v>2023-12-25</x:v>
      </x:c>
      <x:c r="F643" t="str">
        <x:v>U400-DEETHANIZER-500</x:v>
      </x:c>
      <x:c r="G643" t="str">
        <x:v>PV-501</x:v>
      </x:c>
      <x:c r="H643" t="str">
        <x:v>column pressure control valve</x:v>
      </x:c>
      <x:c r="I643" t="str">
        <x:v>control_valve</x:v>
      </x:c>
      <x:c r="J643" t="str">
        <x:v>P1</x:v>
      </x:c>
      <x:c r="K643" t="str">
        <x:v>CLSD</x:v>
      </x:c>
      <x:c r="L643" t="str">
        <x:v>E&amp;I</x:v>
      </x:c>
      <x:c r="M643" t="str">
        <x:v>valve_stiction</x:v>
      </x:c>
      <x:c r="N643" t="str">
        <x:v>not stroking</x:v>
      </x:c>
      <x:c r="O643" t="str">
        <x:v>NO_TRAVEL</x:v>
      </x:c>
      <x:c r="P643" t="str">
        <x:v>ACT</x:v>
      </x:c>
      <x:c r="Q643" t="str">
        <x:v>N</x:v>
      </x:c>
      <x:c r="R643" t="str">
        <x:v>12.3</x:v>
      </x:c>
      <x:c r="S643" t="str">
        <x:v>2559.22</x:v>
      </x:c>
      <x:c r="T643" t="str">
        <x:v>PV-501 not ok after valve stiction</x:v>
      </x:c>
      <x:c r="U643" t="str">
        <x:v>A shift called for PV-501 column pressure ctrl valve, op jumps seen during valve stiction. Foud not stroking; actuator weak. flushed impulse/sample line. need watch next feed swing. notif made by ops, maint attended same shift.</x:v>
      </x:c>
    </x:row>
    <x:row r="644" ht="15" hidden="0" customHeight="1">
      <x:c r="A644" t="str">
        <x:v>10450643</x:v>
      </x:c>
      <x:c r="B644" t="str">
        <x:v>40870643</x:v>
      </x:c>
      <x:c r="C644" t="str">
        <x:v>2023-12-29</x:v>
      </x:c>
      <x:c r="D644" t="str">
        <x:v>2023-12-29</x:v>
      </x:c>
      <x:c r="E644" t="str">
        <x:v>2023-12-29</x:v>
      </x:c>
      <x:c r="F644" t="str">
        <x:v>U400-DEETHANIZER-500</x:v>
      </x:c>
      <x:c r="G644" t="str">
        <x:v>TV-501</x:v>
      </x:c>
      <x:c r="H644" t="str">
        <x:v>reboiler hot medium valve</x:v>
      </x:c>
      <x:c r="I644" t="str">
        <x:v>control_valve</x:v>
      </x:c>
      <x:c r="J644" t="str">
        <x:v>P2</x:v>
      </x:c>
      <x:c r="K644" t="str">
        <x:v>CLSD</x:v>
      </x:c>
      <x:c r="L644" t="str">
        <x:v>ANLYZR</x:v>
      </x:c>
      <x:c r="M644" t="str">
        <x:v>reboiler_duty_loss</x:v>
      </x:c>
      <x:c r="N644" t="str">
        <x:v>hunting loop</x:v>
      </x:c>
      <x:c r="O644" t="str">
        <x:v>CTRL_OSC</x:v>
      </x:c>
      <x:c r="P644" t="str">
        <x:v>TUNE</x:v>
      </x:c>
      <x:c r="Q644" t="str">
        <x:v>N</x:v>
      </x:c>
      <x:c r="R644" t="str">
        <x:v>4.7</x:v>
      </x:c>
      <x:c r="S644" t="str">
        <x:v>2635.22</x:v>
      </x:c>
      <x:c r="T644" t="str">
        <x:v>TV-501 rb circ cold, hunting loop</x:v>
      </x:c>
      <x:c r="U644" t="str">
        <x:v>A shift called for TV-501 rebiler hot medium valve, c2 in btm seen during rebiler duty loss. Foud hunting loop; bad response after upset. changed gasket and boxed up. readng close to dcs after job. notif made by ops, maint attended same shift.</x:v>
      </x:c>
    </x:row>
    <x:row r="645" ht="15" hidden="0" customHeight="1">
      <x:c r="A645" t="str">
        <x:v>10450644</x:v>
      </x:c>
      <x:c r="B645" t="str">
        <x:v>40870644</x:v>
      </x:c>
      <x:c r="C645" t="str">
        <x:v>2023-12-30</x:v>
      </x:c>
      <x:c r="D645" t="str">
        <x:v>2024-01-01</x:v>
      </x:c>
      <x:c r="E645" t="str">
        <x:v>2024-01-02</x:v>
      </x:c>
      <x:c r="F645" t="str">
        <x:v>U400-DEETHANIZER-500</x:v>
      </x:c>
      <x:c r="G645" t="str">
        <x:v>PV-501</x:v>
      </x:c>
      <x:c r="H645" t="str">
        <x:v>column pressure control valve</x:v>
      </x:c>
      <x:c r="I645" t="str">
        <x:v>control_valve</x:v>
      </x:c>
      <x:c r="J645" t="str">
        <x:v>P3</x:v>
      </x:c>
      <x:c r="K645" t="str">
        <x:v>COMP</x:v>
      </x:c>
      <x:c r="L645" t="str">
        <x:v>ANLYZR</x:v>
      </x:c>
      <x:c r="M645" t="str">
        <x:v>condenser_fouling</x:v>
      </x:c>
      <x:c r="N645" t="str">
        <x:v>stiction</x:v>
      </x:c>
      <x:c r="O645" t="str">
        <x:v>STICK</x:v>
      </x:c>
      <x:c r="P645" t="str">
        <x:v>PACKING</x:v>
      </x:c>
      <x:c r="Q645" t="str">
        <x:v>N</x:v>
      </x:c>
      <x:c r="R645" t="str">
        <x:v>11.5</x:v>
      </x:c>
      <x:c r="S645" t="str">
        <x:v>5674.15</x:v>
      </x:c>
      <x:c r="T645" t="str">
        <x:v>PV-501 stiction again, prod upset</x:v>
      </x:c>
      <x:c r="U645" t="str">
        <x:v>A shift called for PV-501 column pressure control valve, cw dt low seen during condnsr fouling. Foud stiction; stem sticky and pos err. No spare in store at first, used refurb one from shop. opened strainer, cleaned black sludge. still little hunting but acceptable. notif made by ops, maint attended same shift.</x:v>
      </x:c>
    </x:row>
    <x:row r="646" ht="15" hidden="0" customHeight="1">
      <x:c r="A646" t="str">
        <x:v>10450645</x:v>
      </x:c>
      <x:c r="B646" t="str">
        <x:v>40870645</x:v>
      </x:c>
      <x:c r="C646" t="str">
        <x:v>2024-01-01</x:v>
      </x:c>
      <x:c r="D646" t="str">
        <x:v>2024-01-03</x:v>
      </x:c>
      <x:c r="E646" t="str">
        <x:v>2024-01-03</x:v>
      </x:c>
      <x:c r="F646" t="str">
        <x:v>U400-DEETHANIZER-500</x:v>
      </x:c>
      <x:c r="G646" t="str">
        <x:v>TT-503</x:v>
      </x:c>
      <x:c r="H646" t="str">
        <x:v>reboiler outlet temperature tx</x:v>
      </x:c>
      <x:c r="I646" t="str">
        <x:v>instrument</x:v>
      </x:c>
      <x:c r="J646" t="str">
        <x:v>P3</x:v>
      </x:c>
      <x:c r="K646" t="str">
        <x:v>TECO</x:v>
      </x:c>
      <x:c r="L646" t="str">
        <x:v>INST</x:v>
      </x:c>
      <x:c r="M646" t="str">
        <x:v>reboiler_duty_loss</x:v>
      </x:c>
      <x:c r="N646" t="str">
        <x:v>range err</x:v>
      </x:c>
      <x:c r="O646" t="str">
        <x:v>SPAN</x:v>
      </x:c>
      <x:c r="P646" t="str">
        <x:v>CAL</x:v>
      </x:c>
      <x:c r="Q646" t="str">
        <x:v>N</x:v>
      </x:c>
      <x:c r="R646" t="str">
        <x:v>9.6</x:v>
      </x:c>
      <x:c r="S646" t="str">
        <x:v>1223.86</x:v>
      </x:c>
      <x:c r="T646" t="str">
        <x:v>TT-503 not ok after reboiler duty loss</x:v>
      </x:c>
      <x:c r="U646" t="str">
        <x:v>A shift called for TT-503 reboiler outlet temperature tx, c2 in btm seen during reboiler duty loss. Foud range err; span shifted. opened strainer, cleaned black sludge. temp repair only, plan shutdown job. notif made by ops, maint attended same shift.</x:v>
      </x:c>
    </x:row>
    <x:row r="647" ht="15" hidden="0" customHeight="1">
      <x:c r="A647" t="str">
        <x:v>10450646</x:v>
      </x:c>
      <x:c r="B647" t="str">
        <x:v>40870646</x:v>
      </x:c>
      <x:c r="C647" t="str">
        <x:v>2023-12-30</x:v>
      </x:c>
      <x:c r="D647" t="str">
        <x:v>2024-01-01</x:v>
      </x:c>
      <x:c r="E647" t="str">
        <x:v>2024-01-04</x:v>
      </x:c>
      <x:c r="F647" t="str">
        <x:v>U400-DEETHANIZER-500</x:v>
      </x:c>
      <x:c r="G647" t="str">
        <x:v>E-502</x:v>
      </x:c>
      <x:c r="H647" t="str">
        <x:v>deethanizer overhead condenser</x:v>
      </x:c>
      <x:c r="I647" t="str">
        <x:v>condenser</x:v>
      </x:c>
      <x:c r="J647" t="str">
        <x:v>P4</x:v>
      </x:c>
      <x:c r="K647" t="str">
        <x:v>CLSD</x:v>
      </x:c>
      <x:c r="L647" t="str">
        <x:v>VALVE</x:v>
      </x:c>
      <x:c r="M647" t="str">
        <x:v>condenser_fouling</x:v>
      </x:c>
      <x:c r="N647" t="str">
        <x:v>tv no travel</x:v>
      </x:c>
      <x:c r="O647" t="str">
        <x:v>VALVE</x:v>
      </x:c>
      <x:c r="P647" t="str">
        <x:v>STICK</x:v>
      </x:c>
      <x:c r="Q647" t="str">
        <x:v>N</x:v>
      </x:c>
      <x:c r="R647" t="str">
        <x:v>2.4</x:v>
      </x:c>
      <x:c r="S647" t="str">
        <x:v>13869.27</x:v>
      </x:c>
      <x:c r="T647" t="str">
        <x:v>E-502 tv no travel asap</x:v>
      </x:c>
      <x:c r="U647" t="str">
        <x:v>night called for E-502 deethanizer overhead condenser, drum temp hi seen during condenser fouling. Foud tv no travel; cooling valve stuck. Line was hot so job done slow and with ops standing by. changed gasket and boxed up. temp repair only, plan shutdown job. notif made by ops, maint attended same shift.</x:v>
      </x:c>
    </x:row>
    <x:row r="648" ht="15" hidden="0" customHeight="1">
      <x:c r="A648" t="str">
        <x:v>10450647</x:v>
      </x:c>
      <x:c r="B648" t="str">
        <x:v>40870647</x:v>
      </x:c>
      <x:c r="C648" t="str">
        <x:v>2024-01-02</x:v>
      </x:c>
      <x:c r="D648" t="str">
        <x:v>2024-01-02</x:v>
      </x:c>
      <x:c r="E648" t="str">
        <x:v>2024-01-07</x:v>
      </x:c>
      <x:c r="F648" t="str">
        <x:v>U400-DEETHANIZER-500</x:v>
      </x:c>
      <x:c r="G648" t="str">
        <x:v>V-501</x:v>
      </x:c>
      <x:c r="H648" t="str">
        <x:v>deethanizer reflux drum</x:v>
      </x:c>
      <x:c r="I648" t="str">
        <x:v>vessel</x:v>
      </x:c>
      <x:c r="J648" t="str">
        <x:v>P1</x:v>
      </x:c>
      <x:c r="K648" t="str">
        <x:v>TECO</x:v>
      </x:c>
      <x:c r="L648" t="str">
        <x:v>ANLYZR</x:v>
      </x:c>
      <x:c r="M648" t="str">
        <x:v>condenser_fouling</x:v>
      </x:c>
      <x:c r="N648" t="str">
        <x:v>pressure erratic</x:v>
      </x:c>
      <x:c r="O648" t="str">
        <x:v>PRESS_SWING</x:v>
      </x:c>
      <x:c r="P648" t="str">
        <x:v>CTRL</x:v>
      </x:c>
      <x:c r="Q648" t="str">
        <x:v>Y</x:v>
      </x:c>
      <x:c r="R648" t="str">
        <x:v>21.7</x:v>
      </x:c>
      <x:c r="S648" t="str">
        <x:v>3717.46</x:v>
      </x:c>
      <x:c r="T648" t="str">
        <x:v>V-501 pressure erratic pls chk</x:v>
      </x:c>
      <x:c r="U648" t="str">
        <x:v>B shift called for V-501 deethanizer reflux drum, high ovhd press seen during condenser fouling. Foud pressure erratic; pv/pic issue. opened strainer, cleaned black sludge. temp repair only, plan shutdown job. notif made by ops, maint attended same shift.</x:v>
      </x:c>
    </x:row>
    <x:row r="649" ht="15" hidden="0" customHeight="1">
      <x:c r="A649" t="str">
        <x:v>10450648</x:v>
      </x:c>
      <x:c r="B649" t="str">
        <x:v>40870648</x:v>
      </x:c>
      <x:c r="C649" t="str">
        <x:v>2024-01-04</x:v>
      </x:c>
      <x:c r="D649" t="str">
        <x:v>2024-01-05</x:v>
      </x:c>
      <x:c r="E649" t="str">
        <x:v>2024-01-08</x:v>
      </x:c>
      <x:c r="F649" t="str">
        <x:v>U400-DEETHANIZER-500</x:v>
      </x:c>
      <x:c r="G649" t="str">
        <x:v>PV-501</x:v>
      </x:c>
      <x:c r="H649" t="str">
        <x:v>column pressure control valve</x:v>
      </x:c>
      <x:c r="I649" t="str">
        <x:v>control_valve</x:v>
      </x:c>
      <x:c r="J649" t="str">
        <x:v>P2</x:v>
      </x:c>
      <x:c r="K649" t="str">
        <x:v>TECO</x:v>
      </x:c>
      <x:c r="L649" t="str">
        <x:v>VALVE</x:v>
      </x:c>
      <x:c r="M649" t="str">
        <x:v>pressure_control_fault</x:v>
      </x:c>
      <x:c r="N649" t="str">
        <x:v>not stroking</x:v>
      </x:c>
      <x:c r="O649" t="str">
        <x:v>NO_TRAVEL</x:v>
      </x:c>
      <x:c r="P649" t="str">
        <x:v>ACT</x:v>
      </x:c>
      <x:c r="Q649" t="str">
        <x:v>N</x:v>
      </x:c>
      <x:c r="R649" t="str">
        <x:v>17.0</x:v>
      </x:c>
      <x:c r="S649" t="str">
        <x:v>1466.55</x:v>
      </x:c>
      <x:c r="T649" t="str">
        <x:v>PV-501 pv not movng, not stroking</x:v>
      </x:c>
      <x:c r="U649" t="str">
        <x:v>C shift called for PV-501 column pressure control valve, press spike seen during pressure control fault. Foud not stroking; actuator weak. flushed impulse/sample line. readng close to dcs after job. notif made by ops, maint attended same shift.</x:v>
      </x:c>
    </x:row>
    <x:row r="650" ht="15" hidden="0" customHeight="1">
      <x:c r="A650" t="str">
        <x:v>10450649</x:v>
      </x:c>
      <x:c r="B650" t="str">
        <x:v>40870649</x:v>
      </x:c>
      <x:c r="C650" t="str">
        <x:v>2024-01-04</x:v>
      </x:c>
      <x:c r="D650" t="str">
        <x:v>2024-01-04</x:v>
      </x:c>
      <x:c r="E650" t="str">
        <x:v>2024-01-05</x:v>
      </x:c>
      <x:c r="F650" t="str">
        <x:v>U400-DEETHANIZER-500</x:v>
      </x:c>
      <x:c r="G650" t="str">
        <x:v>FV-502</x:v>
      </x:c>
      <x:c r="H650" t="str">
        <x:v>reflux flow control valve</x:v>
      </x:c>
      <x:c r="I650" t="str">
        <x:v>control_valve</x:v>
      </x:c>
      <x:c r="J650" t="str">
        <x:v>P2</x:v>
      </x:c>
      <x:c r="K650" t="str">
        <x:v>CLSD</x:v>
      </x:c>
      <x:c r="L650" t="str">
        <x:v>INST</x:v>
      </x:c>
      <x:c r="M650" t="str">
        <x:v>valve_stiction</x:v>
      </x:c>
      <x:c r="N650" t="str">
        <x:v>hunting loop</x:v>
      </x:c>
      <x:c r="O650" t="str">
        <x:v>CTRL_OSC</x:v>
      </x:c>
      <x:c r="P650" t="str">
        <x:v>TUNE</x:v>
      </x:c>
      <x:c r="Q650" t="str">
        <x:v>Y</x:v>
      </x:c>
      <x:c r="R650" t="str">
        <x:v>10.7</x:v>
      </x:c>
      <x:c r="S650" t="str">
        <x:v>5201.51</x:v>
      </x:c>
      <x:c r="T650" t="str">
        <x:v>FV-502 not ok after vavle stiction</x:v>
      </x:c>
      <x:c r="U650" t="str">
        <x:v>B shift called for FV-502 rflx flow ctrl valve, air leak seen during valve stiction. Foud hunting loop; bad response after upset. Line was hot so job done slow and with ops standing by. flushed impulse/sample line. need watch next feed swing. notif made by ops, maint attended same shift.</x:v>
      </x:c>
    </x:row>
    <x:row r="651" ht="15" hidden="0" customHeight="1">
      <x:c r="A651" t="str">
        <x:v>10450650</x:v>
      </x:c>
      <x:c r="B651" t="str">
        <x:v>40870650</x:v>
      </x:c>
      <x:c r="C651" t="str">
        <x:v>2024-01-06</x:v>
      </x:c>
      <x:c r="D651" t="str">
        <x:v>2024-01-06</x:v>
      </x:c>
      <x:c r="E651" t="str">
        <x:v>2024-01-07</x:v>
      </x:c>
      <x:c r="F651" t="str">
        <x:v>U400-DEETHANIZER-500</x:v>
      </x:c>
      <x:c r="G651" t="str">
        <x:v>PSV-501B</x:v>
      </x:c>
      <x:c r="H651" t="str">
        <x:v>column relief valve B</x:v>
      </x:c>
      <x:c r="I651" t="str">
        <x:v>relief</x:v>
      </x:c>
      <x:c r="J651" t="str">
        <x:v>P4</x:v>
      </x:c>
      <x:c r="K651" t="str">
        <x:v>CLSD</x:v>
      </x:c>
      <x:c r="L651" t="str">
        <x:v>INST</x:v>
      </x:c>
      <x:c r="M651" t="str">
        <x:v>pressure_control_fault</x:v>
      </x:c>
      <x:c r="N651" t="str">
        <x:v>car seal broken</x:v>
      </x:c>
      <x:c r="O651" t="str">
        <x:v>CSO</x:v>
      </x:c>
      <x:c r="P651" t="str">
        <x:v>HUMAN</x:v>
      </x:c>
      <x:c r="Q651" t="str">
        <x:v>N</x:v>
      </x:c>
      <x:c r="R651" t="str">
        <x:v>2.0</x:v>
      </x:c>
      <x:c r="S651" t="str">
        <x:v>997.97</x:v>
      </x:c>
      <x:c r="T651" t="str">
        <x:v>PSV-501B car seal broken again, prod upset</x:v>
      </x:c>
      <x:c r="U651" t="str">
        <x:v>C shift called for PSV-501B column relief valve B, pshh close call seen during pressure control fault. Foud car seal broken; seal missing foud. Could not get permit first time waiting area gas test. flushed impulse/sample line. no leak at handover. notif made by ops, maint attended same shift.</x:v>
      </x:c>
    </x:row>
    <x:row r="652" ht="15" hidden="0" customHeight="1">
      <x:c r="A652" t="str">
        <x:v>10450651</x:v>
      </x:c>
      <x:c r="B652" t="str">
        <x:v>40870651</x:v>
      </x:c>
      <x:c r="C652" t="str">
        <x:v>2024-01-08</x:v>
      </x:c>
      <x:c r="D652" t="str">
        <x:v>2024-01-09</x:v>
      </x:c>
      <x:c r="E652" t="str">
        <x:v>2024-01-11</x:v>
      </x:c>
      <x:c r="F652" t="str">
        <x:v>U400-DEETHANIZER-500</x:v>
      </x:c>
      <x:c r="G652" t="str">
        <x:v>E-502</x:v>
      </x:c>
      <x:c r="H652" t="str">
        <x:v>deethanizer overhead condenser</x:v>
      </x:c>
      <x:c r="I652" t="str">
        <x:v>condenser</x:v>
      </x:c>
      <x:c r="J652" t="str">
        <x:v>P2</x:v>
      </x:c>
      <x:c r="K652" t="str">
        <x:v>CLSD</x:v>
      </x:c>
      <x:c r="L652" t="str">
        <x:v>VALVE</x:v>
      </x:c>
      <x:c r="M652" t="str">
        <x:v>condenser_fouling</x:v>
      </x:c>
      <x:c r="N652" t="str">
        <x:v>high press</x:v>
      </x:c>
      <x:c r="O652" t="str">
        <x:v>PERF</x:v>
      </x:c>
      <x:c r="P652" t="str">
        <x:v>FOUL</x:v>
      </x:c>
      <x:c r="Q652" t="str">
        <x:v>N</x:v>
      </x:c>
      <x:c r="R652" t="str">
        <x:v>17.9</x:v>
      </x:c>
      <x:c r="S652" t="str">
        <x:v>16124.81</x:v>
      </x:c>
      <x:c r="T652" t="str">
        <x:v>E-502 not ok after condenser fouling</x:v>
      </x:c>
      <x:c r="U652" t="str">
        <x:v>C shift called for E-502 deethanizer overhead condenser, drum temp hi seen during condenser fouling. Foud high press; condensing duty poor. No spare in store at first, used refurb one from shop. changed gasket and boxed up. readng close to dcs after job. notif made by ops, maint attended same shift.</x:v>
      </x:c>
    </x:row>
    <x:row r="653" ht="15" hidden="0" customHeight="1">
      <x:c r="A653" t="str">
        <x:v>10450652</x:v>
      </x:c>
      <x:c r="B653" t="str">
        <x:v>40870652</x:v>
      </x:c>
      <x:c r="C653" t="str">
        <x:v>2024-01-07</x:v>
      </x:c>
      <x:c r="D653" t="str">
        <x:v>2024-01-07</x:v>
      </x:c>
      <x:c r="E653" t="str">
        <x:v>2024-01-09</x:v>
      </x:c>
      <x:c r="F653" t="str">
        <x:v>U400-DEETHANIZER-500</x:v>
      </x:c>
      <x:c r="G653" t="str">
        <x:v>P-501B</x:v>
      </x:c>
      <x:c r="H653" t="str">
        <x:v>reflux pump B</x:v>
      </x:c>
      <x:c r="I653" t="str">
        <x:v>pump</x:v>
      </x:c>
      <x:c r="J653" t="str">
        <x:v>P2</x:v>
      </x:c>
      <x:c r="K653" t="str">
        <x:v>TECO</x:v>
      </x:c>
      <x:c r="L653" t="str">
        <x:v>ROT</x:v>
      </x:c>
      <x:c r="M653" t="str">
        <x:v>valve_stiction</x:v>
      </x:c>
      <x:c r="N653" t="str">
        <x:v>motor trip</x:v>
      </x:c>
      <x:c r="O653" t="str">
        <x:v>MOTOR</x:v>
      </x:c>
      <x:c r="P653" t="str">
        <x:v>ELEC</x:v>
      </x:c>
      <x:c r="Q653" t="str">
        <x:v>Y</x:v>
      </x:c>
      <x:c r="R653" t="str">
        <x:v>20.7</x:v>
      </x:c>
      <x:c r="S653" t="str">
        <x:v>4218.39</x:v>
      </x:c>
      <x:c r="T653" t="str">
        <x:v>P-501B motor trip again, prod upset</x:v>
      </x:c>
      <x:c r="U653" t="str">
        <x:v>B shift called for P-501B reflux pump B, position bad seen during valve stiction. Foud motor trip; overload trip after upset. Line was hot so job done slow and with ops standing by. reset trip and monitored for 2 hrs. no leak at handover. notif made by ops, maint attended same shift.</x:v>
      </x:c>
    </x:row>
    <x:row r="654" ht="15" hidden="0" customHeight="1">
      <x:c r="A654" t="str">
        <x:v>10450653</x:v>
      </x:c>
      <x:c r="B654" t="str">
        <x:v>40870653</x:v>
      </x:c>
      <x:c r="C654" t="str">
        <x:v>2024-01-10</x:v>
      </x:c>
      <x:c r="D654" t="str">
        <x:v>2024-01-11</x:v>
      </x:c>
      <x:c r="E654" t="str">
        <x:v>2024-01-12</x:v>
      </x:c>
      <x:c r="F654" t="str">
        <x:v>U400-DEETHANIZER-500</x:v>
      </x:c>
      <x:c r="G654" t="str">
        <x:v>TV-501</x:v>
      </x:c>
      <x:c r="H654" t="str">
        <x:v>reboiler hot medium valve</x:v>
      </x:c>
      <x:c r="I654" t="str">
        <x:v>control_valve</x:v>
      </x:c>
      <x:c r="J654" t="str">
        <x:v>P3</x:v>
      </x:c>
      <x:c r="K654" t="str">
        <x:v>COMP</x:v>
      </x:c>
      <x:c r="L654" t="str">
        <x:v>E&amp;I</x:v>
      </x:c>
      <x:c r="M654" t="str">
        <x:v>reboiler_duty_loss</x:v>
      </x:c>
      <x:c r="N654" t="str">
        <x:v>not stroking</x:v>
      </x:c>
      <x:c r="O654" t="str">
        <x:v>NO_TRAVEL</x:v>
      </x:c>
      <x:c r="P654" t="str">
        <x:v>ACT</x:v>
      </x:c>
      <x:c r="Q654" t="str">
        <x:v>N</x:v>
      </x:c>
      <x:c r="R654" t="str">
        <x:v>13.2</x:v>
      </x:c>
      <x:c r="S654" t="str">
        <x:v>657.33</x:v>
      </x:c>
      <x:c r="T654" t="str">
        <x:v>TV-501 not ok after reboiler duty loss</x:v>
      </x:c>
      <x:c r="U654" t="str">
        <x:v>A shift called for TV-501 reboiler hot medium valve, rb circ cold seen during reboiler duty loss. Foud not stroking; actuator weak. cleaned and put back online. temp repair only, plan shutdown job. notif made by ops, maint attended same shift.</x:v>
      </x:c>
    </x:row>
    <x:row r="655" ht="15" hidden="0" customHeight="1">
      <x:c r="A655" t="str">
        <x:v>10450654</x:v>
      </x:c>
      <x:c r="B655" t="str">
        <x:v>40870654</x:v>
      </x:c>
      <x:c r="C655" t="str">
        <x:v>2024-01-10</x:v>
      </x:c>
      <x:c r="D655" t="str">
        <x:v>2024-01-11</x:v>
      </x:c>
      <x:c r="E655" t="str">
        <x:v>2024-01-13</x:v>
      </x:c>
      <x:c r="F655" t="str">
        <x:v>U400-DEETHANIZER-500</x:v>
      </x:c>
      <x:c r="G655" t="str">
        <x:v>V-501</x:v>
      </x:c>
      <x:c r="H655" t="str">
        <x:v>deethanizer reflux drum</x:v>
      </x:c>
      <x:c r="I655" t="str">
        <x:v>vessel</x:v>
      </x:c>
      <x:c r="J655" t="str">
        <x:v>P1</x:v>
      </x:c>
      <x:c r="K655" t="str">
        <x:v>COMP</x:v>
      </x:c>
      <x:c r="L655" t="str">
        <x:v>INST</x:v>
      </x:c>
      <x:c r="M655" t="str">
        <x:v>normal_wear</x:v>
      </x:c>
      <x:c r="N655" t="str">
        <x:v>pressure erratic</x:v>
      </x:c>
      <x:c r="O655" t="str">
        <x:v>PRESS_SWING</x:v>
      </x:c>
      <x:c r="P655" t="str">
        <x:v>CTRL</x:v>
      </x:c>
      <x:c r="Q655" t="str">
        <x:v>N</x:v>
      </x:c>
      <x:c r="R655" t="str">
        <x:v>10.6</x:v>
      </x:c>
      <x:c r="S655" t="str">
        <x:v>5234.65</x:v>
      </x:c>
      <x:c r="T655" t="str">
        <x:v>V-501 leak, pressure erratic</x:v>
      </x:c>
      <x:c r="U655" t="str">
        <x:v>C shift called for V-501 deethanizer reflux drum, bad reading seen during normal wear. Foud pressure erratic; pv/pic issue. flushed impulse/sample line. still little hunting but acceptable. notif made by ops, maint attended same shift.</x:v>
      </x:c>
    </x:row>
    <x:row r="656" ht="15" hidden="0" customHeight="1">
      <x:c r="A656" t="str">
        <x:v>10450655</x:v>
      </x:c>
      <x:c r="B656" t="str">
        <x:v>40870655</x:v>
      </x:c>
      <x:c r="C656" t="str">
        <x:v>2024-01-16</x:v>
      </x:c>
      <x:c r="D656" t="str">
        <x:v>2024-01-16</x:v>
      </x:c>
      <x:c r="E656" t="str">
        <x:v>2024-01-16</x:v>
      </x:c>
      <x:c r="F656" t="str">
        <x:v>U400-DEETHANIZER-500</x:v>
      </x:c>
      <x:c r="G656" t="str">
        <x:v>TV-501</x:v>
      </x:c>
      <x:c r="H656" t="str">
        <x:v>reboiler hot medium valve</x:v>
      </x:c>
      <x:c r="I656" t="str">
        <x:v>control_valve</x:v>
      </x:c>
      <x:c r="J656" t="str">
        <x:v>P3</x:v>
      </x:c>
      <x:c r="K656" t="str">
        <x:v>CLSD</x:v>
      </x:c>
      <x:c r="L656" t="str">
        <x:v>MECH</x:v>
      </x:c>
      <x:c r="M656" t="str">
        <x:v>reboiler_duty_loss</x:v>
      </x:c>
      <x:c r="N656" t="str">
        <x:v>passing</x:v>
      </x:c>
      <x:c r="O656" t="str">
        <x:v>LEAK_BY</x:v>
      </x:c>
      <x:c r="P656" t="str">
        <x:v>SEAT</x:v>
      </x:c>
      <x:c r="Q656" t="str">
        <x:v>N</x:v>
      </x:c>
      <x:c r="R656" t="str">
        <x:v>2.0</x:v>
      </x:c>
      <x:c r="S656" t="str">
        <x:v>536.66</x:v>
      </x:c>
      <x:c r="T656" t="str">
        <x:v>TV-501 c2 in btm, passing</x:v>
      </x:c>
      <x:c r="U656" t="str">
        <x:v>C shift called for TV-501 reboiler hot medium valve, steam/hm valve no resp seen during reboiler duty loss. Foud passing; seat leak by. Line was hot so job done slow and with ops standing by. flushed impulse/sample line. readng close to dcs after job. notif made by ops, maint attended same shift.</x:v>
      </x:c>
    </x:row>
    <x:row r="657" ht="15" hidden="0" customHeight="1">
      <x:c r="A657" t="str">
        <x:v>10450656</x:v>
      </x:c>
      <x:c r="B657" t="str">
        <x:v>40870656</x:v>
      </x:c>
      <x:c r="C657" t="str">
        <x:v>2024-01-15</x:v>
      </x:c>
      <x:c r="D657" t="str">
        <x:v>2024-01-15</x:v>
      </x:c>
      <x:c r="E657" t="str">
        <x:v>2024-01-22</x:v>
      </x:c>
      <x:c r="F657" t="str">
        <x:v>U400-DEETHANIZER-500</x:v>
      </x:c>
      <x:c r="G657" t="str">
        <x:v>E-502</x:v>
      </x:c>
      <x:c r="H657" t="str">
        <x:v>deethanizer overhead condenser</x:v>
      </x:c>
      <x:c r="I657" t="str">
        <x:v>condenser</x:v>
      </x:c>
      <x:c r="J657" t="str">
        <x:v>P3</x:v>
      </x:c>
      <x:c r="K657" t="str">
        <x:v>COMP</x:v>
      </x:c>
      <x:c r="L657" t="str">
        <x:v>OPS+INST</x:v>
      </x:c>
      <x:c r="M657" t="str">
        <x:v>condenser_fouling</x:v>
      </x:c>
      <x:c r="N657" t="str">
        <x:v>high press</x:v>
      </x:c>
      <x:c r="O657" t="str">
        <x:v>PERF</x:v>
      </x:c>
      <x:c r="P657" t="str">
        <x:v>FOUL</x:v>
      </x:c>
      <x:c r="Q657" t="str">
        <x:v>N</x:v>
      </x:c>
      <x:c r="R657" t="str">
        <x:v>7.0</x:v>
      </x:c>
      <x:c r="S657" t="str">
        <x:v>13881.22</x:v>
      </x:c>
      <x:c r="T657" t="str">
        <x:v>E-502 not ok after condenser fouling</x:v>
      </x:c>
      <x:c r="U657" t="str">
        <x:v>A shift called for E-502 deethanizer overhead condenser, pic wide open seen during condenser fouling. Foud high press; condensing duty poor. swapped to standby and repaired. no leak at handover. notif made by ops, maint attended same shift.</x:v>
      </x:c>
    </x:row>
    <x:row r="658" ht="15" hidden="0" customHeight="1">
      <x:c r="A658" t="str">
        <x:v>10450657</x:v>
      </x:c>
      <x:c r="B658" t="str">
        <x:v>40870657</x:v>
      </x:c>
      <x:c r="C658" t="str">
        <x:v>2024-01-17</x:v>
      </x:c>
      <x:c r="D658" t="str">
        <x:v>2024-01-17</x:v>
      </x:c>
      <x:c r="E658" t="str">
        <x:v>2024-01-18</x:v>
      </x:c>
      <x:c r="F658" t="str">
        <x:v>U400-DEETHANIZER-500</x:v>
      </x:c>
      <x:c r="G658" t="str">
        <x:v>P-501B</x:v>
      </x:c>
      <x:c r="H658" t="str">
        <x:v>reflux pump B</x:v>
      </x:c>
      <x:c r="I658" t="str">
        <x:v>pump</x:v>
      </x:c>
      <x:c r="J658" t="str">
        <x:v>P3</x:v>
      </x:c>
      <x:c r="K658" t="str">
        <x:v>CLSD</x:v>
      </x:c>
      <x:c r="L658" t="str">
        <x:v>ROT</x:v>
      </x:c>
      <x:c r="M658" t="str">
        <x:v>reboiler_duty_loss</x:v>
      </x:c>
      <x:c r="N658" t="str">
        <x:v>motor trip</x:v>
      </x:c>
      <x:c r="O658" t="str">
        <x:v>MOTOR</x:v>
      </x:c>
      <x:c r="P658" t="str">
        <x:v>ELEC</x:v>
      </x:c>
      <x:c r="Q658" t="str">
        <x:v>N</x:v>
      </x:c>
      <x:c r="R658" t="str">
        <x:v>6.2</x:v>
      </x:c>
      <x:c r="S658" t="str">
        <x:v>2605.42</x:v>
      </x:c>
      <x:c r="T658" t="str">
        <x:v>P-501B motor trip again, prod upset</x:v>
      </x:c>
      <x:c r="U658" t="str">
        <x:v>C shift called for P-501B reflux pump B, rb circ cold seen during rebiler duty loss. Foud motor trip; overload trip after upset. changed gasket and boxed up. ops says ok for now. notif made by ops, maint attended same shift.</x:v>
      </x:c>
    </x:row>
    <x:row r="659" ht="15" hidden="0" customHeight="1">
      <x:c r="A659" t="str">
        <x:v>10450658</x:v>
      </x:c>
      <x:c r="B659" t="str">
        <x:v>40870658</x:v>
      </x:c>
      <x:c r="C659" t="str">
        <x:v>2024-01-19</x:v>
      </x:c>
      <x:c r="D659" t="str">
        <x:v>2024-01-19</x:v>
      </x:c>
      <x:c r="E659" t="str">
        <x:v>2024-01-22</x:v>
      </x:c>
      <x:c r="F659" t="str">
        <x:v>U400-DEETHANIZER-500</x:v>
      </x:c>
      <x:c r="G659" t="str">
        <x:v>TV-501</x:v>
      </x:c>
      <x:c r="H659" t="str">
        <x:v>reboiler hot medium valve</x:v>
      </x:c>
      <x:c r="I659" t="str">
        <x:v>control_valve</x:v>
      </x:c>
      <x:c r="J659" t="str">
        <x:v>P3</x:v>
      </x:c>
      <x:c r="K659" t="str">
        <x:v>CLSD</x:v>
      </x:c>
      <x:c r="L659" t="str">
        <x:v>OPS+INST</x:v>
      </x:c>
      <x:c r="M659" t="str">
        <x:v>feed_temperature_ramp</x:v>
      </x:c>
      <x:c r="N659" t="str">
        <x:v>passing</x:v>
      </x:c>
      <x:c r="O659" t="str">
        <x:v>LEAK_BY</x:v>
      </x:c>
      <x:c r="P659" t="str">
        <x:v>SEAT</x:v>
      </x:c>
      <x:c r="Q659" t="str">
        <x:v>N</x:v>
      </x:c>
      <x:c r="R659" t="str">
        <x:v>14.0</x:v>
      </x:c>
      <x:c r="S659" t="str">
        <x:v>4210.44</x:v>
      </x:c>
      <x:c r="T659" t="str">
        <x:v>TV-501 passing again, prod upset</x:v>
      </x:c>
      <x:c r="U659" t="str">
        <x:v>A shift called for TV-501 reboiler hot medium vavle, ovhd press moving seen during feed temperature ramp. Foud passing; seat leak by. Tag plate dirty, confirmd by line up with panel. cleaned and put back online. readng close to dcs after job. notif made by ops, maint attended same shift.</x:v>
      </x:c>
    </x:row>
    <x:row r="660" ht="15" hidden="0" customHeight="1">
      <x:c r="A660" t="str">
        <x:v>10450659</x:v>
      </x:c>
      <x:c r="B660" t="str">
        <x:v>40870659</x:v>
      </x:c>
      <x:c r="C660" t="str">
        <x:v>2024-01-17</x:v>
      </x:c>
      <x:c r="D660" t="str">
        <x:v>2024-01-17</x:v>
      </x:c>
      <x:c r="E660" t="str">
        <x:v>2024-01-17</x:v>
      </x:c>
      <x:c r="F660" t="str">
        <x:v>U400-DEETHANIZER-500</x:v>
      </x:c>
      <x:c r="G660" t="str">
        <x:v>TV-502</x:v>
      </x:c>
      <x:c r="H660" t="str">
        <x:v>condenser cooling valve</x:v>
      </x:c>
      <x:c r="I660" t="str">
        <x:v>control_valve</x:v>
      </x:c>
      <x:c r="J660" t="str">
        <x:v>P3</x:v>
      </x:c>
      <x:c r="K660" t="str">
        <x:v>CLSD</x:v>
      </x:c>
      <x:c r="L660" t="str">
        <x:v>MECH</x:v>
      </x:c>
      <x:c r="M660" t="str">
        <x:v>valve_stiction</x:v>
      </x:c>
      <x:c r="N660" t="str">
        <x:v>hunting loop</x:v>
      </x:c>
      <x:c r="O660" t="str">
        <x:v>CTRL_OSC</x:v>
      </x:c>
      <x:c r="P660" t="str">
        <x:v>TUNE</x:v>
      </x:c>
      <x:c r="Q660" t="str">
        <x:v>N</x:v>
      </x:c>
      <x:c r="R660" t="str">
        <x:v>9.1</x:v>
      </x:c>
      <x:c r="S660" t="str">
        <x:v>4045.42</x:v>
      </x:c>
      <x:c r="T660" t="str">
        <x:v>TV-502 hunting loop pls chk</x:v>
      </x:c>
      <x:c r="U660" t="str">
        <x:v>A shift called for TV-502 condenser cooling valve, air leak seen during valve stiction. Foud hunting loop; bad response after upset. No spare in store at first, used refurb one from shop. opened strainer, cleaned black sludge. ops says ok for now. notif made by ops, maint attended same shift.</x:v>
      </x:c>
    </x:row>
    <x:row r="661" ht="15" hidden="0" customHeight="1">
      <x:c r="A661" t="str">
        <x:v>10450660</x:v>
      </x:c>
      <x:c r="B661" t="str">
        <x:v>40870660</x:v>
      </x:c>
      <x:c r="C661" t="str">
        <x:v>2024-01-23</x:v>
      </x:c>
      <x:c r="D661" t="str">
        <x:v>2024-01-24</x:v>
      </x:c>
      <x:c r="E661" t="str">
        <x:v>2024-01-24</x:v>
      </x:c>
      <x:c r="F661" t="str">
        <x:v>U400-DEETHANIZER-500</x:v>
      </x:c>
      <x:c r="G661" t="str">
        <x:v>TV-501</x:v>
      </x:c>
      <x:c r="H661" t="str">
        <x:v>reboiler hot medium valve</x:v>
      </x:c>
      <x:c r="I661" t="str">
        <x:v>control_valve</x:v>
      </x:c>
      <x:c r="J661" t="str">
        <x:v>P3</x:v>
      </x:c>
      <x:c r="K661" t="str">
        <x:v>CLSD</x:v>
      </x:c>
      <x:c r="L661" t="str">
        <x:v>ROT</x:v>
      </x:c>
      <x:c r="M661" t="str">
        <x:v>reboiler_duty_loss</x:v>
      </x:c>
      <x:c r="N661" t="str">
        <x:v>passing</x:v>
      </x:c>
      <x:c r="O661" t="str">
        <x:v>LEAK_BY</x:v>
      </x:c>
      <x:c r="P661" t="str">
        <x:v>SEAT</x:v>
      </x:c>
      <x:c r="Q661" t="str">
        <x:v>N</x:v>
      </x:c>
      <x:c r="R661" t="str">
        <x:v>11.0</x:v>
      </x:c>
      <x:c r="S661" t="str">
        <x:v>2384.9</x:v>
      </x:c>
      <x:c r="T661" t="str">
        <x:v>TV-501 passing again, prod upset</x:v>
      </x:c>
      <x:c r="U661" t="str">
        <x:v>B shift called for TV-501 reboiler hot medium valve, steam/hm valve no resp seen during reboiler duty loss. Foud passing; seat leak by. opened strainer, cleaned black sludge. still little hunting but acceptable. notif made by ops, maint attended same shift.</x:v>
      </x:c>
    </x:row>
    <x:row r="662" ht="15" hidden="0" customHeight="1">
      <x:c r="A662" t="str">
        <x:v>10450661</x:v>
      </x:c>
      <x:c r="B662" t="str">
        <x:v>40870661</x:v>
      </x:c>
      <x:c r="C662" t="str">
        <x:v>2024-01-21</x:v>
      </x:c>
      <x:c r="D662" t="str">
        <x:v>2024-01-22</x:v>
      </x:c>
      <x:c r="E662" t="str">
        <x:v>2024-01-22</x:v>
      </x:c>
      <x:c r="F662" t="str">
        <x:v>U400-DEETHANIZER-500</x:v>
      </x:c>
      <x:c r="G662" t="str">
        <x:v>PV-501</x:v>
      </x:c>
      <x:c r="H662" t="str">
        <x:v>column pressure control valve</x:v>
      </x:c>
      <x:c r="I662" t="str">
        <x:v>control_valve</x:v>
      </x:c>
      <x:c r="J662" t="str">
        <x:v>P2</x:v>
      </x:c>
      <x:c r="K662" t="str">
        <x:v>TECO</x:v>
      </x:c>
      <x:c r="L662" t="str">
        <x:v>ROT</x:v>
      </x:c>
      <x:c r="M662" t="str">
        <x:v>pressure_control_fault</x:v>
      </x:c>
      <x:c r="N662" t="str">
        <x:v>passing</x:v>
      </x:c>
      <x:c r="O662" t="str">
        <x:v>LEAK_BY</x:v>
      </x:c>
      <x:c r="P662" t="str">
        <x:v>SEAT</x:v>
      </x:c>
      <x:c r="Q662" t="str">
        <x:v>N</x:v>
      </x:c>
      <x:c r="R662" t="str">
        <x:v>1.3</x:v>
      </x:c>
      <x:c r="S662" t="str">
        <x:v>548.75</x:v>
      </x:c>
      <x:c r="T662" t="str">
        <x:v>chk PV-501 - passing frm ops</x:v>
      </x:c>
      <x:c r="U662" t="str">
        <x:v>days called for PV-501 column pressure ctrl valve, pic unstable seen during pressure ctrl fault. Foud passing; seat leak by. Could not get permit first time waiting area gas test. calibrated, loop checked with CCR. need watch next feed swing. notif made by ops, maint attended same shift.</x:v>
      </x:c>
    </x:row>
    <x:row r="663" ht="15" hidden="0" customHeight="1">
      <x:c r="A663" t="str">
        <x:v>10450662</x:v>
      </x:c>
      <x:c r="B663" t="str">
        <x:v>40870662</x:v>
      </x:c>
      <x:c r="C663" t="str">
        <x:v>2024-01-23</x:v>
      </x:c>
      <x:c r="D663" t="str">
        <x:v>2024-01-25</x:v>
      </x:c>
      <x:c r="E663" t="str">
        <x:v>2024-01-25</x:v>
      </x:c>
      <x:c r="F663" t="str">
        <x:v>U400-DEETHANIZER-500</x:v>
      </x:c>
      <x:c r="G663" t="str">
        <x:v>TT-501B</x:v>
      </x:c>
      <x:c r="H663" t="str">
        <x:v>sensitive tray temperature tx</x:v>
      </x:c>
      <x:c r="I663" t="str">
        <x:v>instrument</x:v>
      </x:c>
      <x:c r="J663" t="str">
        <x:v>P2</x:v>
      </x:c>
      <x:c r="K663" t="str">
        <x:v>TECO</x:v>
      </x:c>
      <x:c r="L663" t="str">
        <x:v>E&amp;I</x:v>
      </x:c>
      <x:c r="M663" t="str">
        <x:v>reboiler_duty_loss</x:v>
      </x:c>
      <x:c r="N663" t="str">
        <x:v>impulse plugged</x:v>
      </x:c>
      <x:c r="O663" t="str">
        <x:v>PLUG</x:v>
      </x:c>
      <x:c r="P663" t="str">
        <x:v>PROCESS</x:v>
      </x:c>
      <x:c r="Q663" t="str">
        <x:v>N</x:v>
      </x:c>
      <x:c r="R663" t="str">
        <x:v>7.9</x:v>
      </x:c>
      <x:c r="S663" t="str">
        <x:v>2223.59</x:v>
      </x:c>
      <x:c r="T663" t="str">
        <x:v>TT-501B impulse plugged again, prod upset</x:v>
      </x:c>
      <x:c r="U663" t="str">
        <x:v>C shift called for TT-501B sensitive tray temperature tx, tray temp low seen during reboiler duty loss. Foud impulse plugged; tap/line dirty. Line was hot so job done slow and with ops standing by. opened strainer, cleaned black sludge. unit stable now. notif made by ops, maint attended same shift.</x:v>
      </x:c>
    </x:row>
    <x:row r="664" ht="15" hidden="0" customHeight="1">
      <x:c r="A664" t="str">
        <x:v>10450663</x:v>
      </x:c>
      <x:c r="B664" t="str">
        <x:v>40870663</x:v>
      </x:c>
      <x:c r="C664" t="str">
        <x:v>2024-01-24</x:v>
      </x:c>
      <x:c r="D664" t="str">
        <x:v>2024-01-24</x:v>
      </x:c>
      <x:c r="E664" t="str">
        <x:v>2024-01-25</x:v>
      </x:c>
      <x:c r="F664" t="str">
        <x:v>U400-DEETHANIZER-500</x:v>
      </x:c>
      <x:c r="G664" t="str">
        <x:v>FV-501</x:v>
      </x:c>
      <x:c r="H664" t="str">
        <x:v>feed flow control valve</x:v>
      </x:c>
      <x:c r="I664" t="str">
        <x:v>control_valve</x:v>
      </x:c>
      <x:c r="J664" t="str">
        <x:v>P2</x:v>
      </x:c>
      <x:c r="K664" t="str">
        <x:v>COMP</x:v>
      </x:c>
      <x:c r="L664" t="str">
        <x:v>INST</x:v>
      </x:c>
      <x:c r="M664" t="str">
        <x:v>valve_stiction</x:v>
      </x:c>
      <x:c r="N664" t="str">
        <x:v>hunting loop</x:v>
      </x:c>
      <x:c r="O664" t="str">
        <x:v>CTRL_OSC</x:v>
      </x:c>
      <x:c r="P664" t="str">
        <x:v>TUNE</x:v>
      </x:c>
      <x:c r="Q664" t="str">
        <x:v>N</x:v>
      </x:c>
      <x:c r="R664" t="str">
        <x:v>8.4</x:v>
      </x:c>
      <x:c r="S664" t="str">
        <x:v>2677.11</x:v>
      </x:c>
      <x:c r="T664" t="str">
        <x:v>FV-501 op jumps, hunting loop</x:v>
      </x:c>
      <x:c r="U664" t="str">
        <x:v>A shift called for FV-501 feed flow control valve, op jumps seen during valve stiction. Foud hunting loop; bad response after upset. calibrated, loop checked with CCR. need watch next feed swing. notif made by ops, maint attended same shift.</x:v>
      </x:c>
    </x:row>
    <x:row r="665" ht="15" hidden="0" customHeight="1">
      <x:c r="A665" t="str">
        <x:v>10450664</x:v>
      </x:c>
      <x:c r="B665" t="str">
        <x:v>40870664</x:v>
      </x:c>
      <x:c r="C665" t="str">
        <x:v>2024-01-26</x:v>
      </x:c>
      <x:c r="D665" t="str">
        <x:v>2024-01-26</x:v>
      </x:c>
      <x:c r="E665" t="str">
        <x:v>2024-02-02</x:v>
      </x:c>
      <x:c r="F665" t="str">
        <x:v>U400-DEETHANIZER-500</x:v>
      </x:c>
      <x:c r="G665" t="str">
        <x:v>XV-501</x:v>
      </x:c>
      <x:c r="H665" t="str">
        <x:v>feed shutdown valve</x:v>
      </x:c>
      <x:c r="I665" t="str">
        <x:v>shutdown_valve</x:v>
      </x:c>
      <x:c r="J665" t="str">
        <x:v>P2</x:v>
      </x:c>
      <x:c r="K665" t="str">
        <x:v>CLSD</x:v>
      </x:c>
      <x:c r="L665" t="str">
        <x:v>OPS+INST</x:v>
      </x:c>
      <x:c r="M665" t="str">
        <x:v>reflux_pump_degradation</x:v>
      </x:c>
      <x:c r="N665" t="str">
        <x:v>limit sw bad</x:v>
      </x:c>
      <x:c r="O665" t="str">
        <x:v>ZSO_ZSC</x:v>
      </x:c>
      <x:c r="P665" t="str">
        <x:v>ELEC</x:v>
      </x:c>
      <x:c r="Q665" t="str">
        <x:v>N</x:v>
      </x:c>
      <x:c r="R665" t="str">
        <x:v>5.6</x:v>
      </x:c>
      <x:c r="S665" t="str">
        <x:v>7.64</x:v>
      </x:c>
      <x:c r="T665" t="str">
        <x:v>XV-501 not ok after reflux pump degradation</x:v>
      </x:c>
      <x:c r="U665" t="str">
        <x:v>B shift called for XV-501 feed shutdown valve, min flow hot seen during reflux pump degradation. Foud limit sw bad; feedback mismatch. Tag plate dirty, confirmd by line up with panel. changed gasket and boxed up. readng close to dcs after job. notif made by ops, maint attended same shift.</x:v>
      </x:c>
    </x:row>
    <x:row r="666" ht="15" hidden="0" customHeight="1">
      <x:c r="A666" t="str">
        <x:v>10450665</x:v>
      </x:c>
      <x:c r="B666" t="str">
        <x:v>40870665</x:v>
      </x:c>
      <x:c r="C666" t="str">
        <x:v>2024-01-28</x:v>
      </x:c>
      <x:c r="D666" t="str">
        <x:v>2024-01-29</x:v>
      </x:c>
      <x:c r="E666" t="str">
        <x:v>2024-02-01</x:v>
      </x:c>
      <x:c r="F666" t="str">
        <x:v>U400-DEETHANIZER-500</x:v>
      </x:c>
      <x:c r="G666" t="str">
        <x:v>P-502B</x:v>
      </x:c>
      <x:c r="H666" t="str">
        <x:v>bottoms pump B</x:v>
      </x:c>
      <x:c r="I666" t="str">
        <x:v>pump</x:v>
      </x:c>
      <x:c r="J666" t="str">
        <x:v>P3</x:v>
      </x:c>
      <x:c r="K666" t="str">
        <x:v>TECO</x:v>
      </x:c>
      <x:c r="L666" t="str">
        <x:v>INST</x:v>
      </x:c>
      <x:c r="M666" t="str">
        <x:v>valve_stiction</x:v>
      </x:c>
      <x:c r="N666" t="str">
        <x:v>bearing hot</x:v>
      </x:c>
      <x:c r="O666" t="str">
        <x:v>BRG</x:v>
      </x:c>
      <x:c r="P666" t="str">
        <x:v>WEAR</x:v>
      </x:c>
      <x:c r="Q666" t="str">
        <x:v>N</x:v>
      </x:c>
      <x:c r="R666" t="str">
        <x:v>18.0</x:v>
      </x:c>
      <x:c r="S666" t="str">
        <x:v>3084.77</x:v>
      </x:c>
      <x:c r="T666" t="str">
        <x:v>P-502B loop cycling, bearing hot</x:v>
      </x:c>
      <x:c r="U666" t="str">
        <x:v>days called for P-502B bottoms pump B, op jumps seen during valve stiction. Foud bearing hot; brg rough, lube dark. tightened fittings, leak test ok. no leak at handover. notif made by ops, maint attended same shift.</x:v>
      </x:c>
    </x:row>
    <x:row r="667" ht="15" hidden="0" customHeight="1">
      <x:c r="A667" t="str">
        <x:v>10450666</x:v>
      </x:c>
      <x:c r="B667" t="str">
        <x:v>40870666</x:v>
      </x:c>
      <x:c r="C667" t="str">
        <x:v>2024-01-29</x:v>
      </x:c>
      <x:c r="D667" t="str">
        <x:v>2024-01-31</x:v>
      </x:c>
      <x:c r="E667" t="str">
        <x:v>2024-02-02</x:v>
      </x:c>
      <x:c r="F667" t="str">
        <x:v>U400-DEETHANIZER-500</x:v>
      </x:c>
      <x:c r="G667" t="str">
        <x:v>E-501</x:v>
      </x:c>
      <x:c r="H667" t="str">
        <x:v>deethanizer reboiler</x:v>
      </x:c>
      <x:c r="I667" t="str">
        <x:v>reboiler</x:v>
      </x:c>
      <x:c r="J667" t="str">
        <x:v>P2</x:v>
      </x:c>
      <x:c r="K667" t="str">
        <x:v>COMP</x:v>
      </x:c>
      <x:c r="L667" t="str">
        <x:v>MECH</x:v>
      </x:c>
      <x:c r="M667" t="str">
        <x:v>feed_flow_step</x:v>
      </x:c>
      <x:c r="N667" t="str">
        <x:v>fouled bundle</x:v>
      </x:c>
      <x:c r="O667" t="str">
        <x:v>FOULING</x:v>
      </x:c>
      <x:c r="P667" t="str">
        <x:v>PROCESS</x:v>
      </x:c>
      <x:c r="Q667" t="str">
        <x:v>Y</x:v>
      </x:c>
      <x:c r="R667" t="str">
        <x:v>11.4</x:v>
      </x:c>
      <x:c r="S667" t="str">
        <x:v>13195.35</x:v>
      </x:c>
      <x:c r="T667" t="str">
        <x:v>E-501 c2 recov down, fouled bundle</x:v>
      </x:c>
      <x:c r="U667" t="str">
        <x:v>A shift called for E-501 deethanizer reboiler, lvl swing seen during feed flow step. Foud fouled bundle; bottoms side dirty. cleaned and put back online. still little hunting but acceptable. notif made by ops, maint attended same shift.</x:v>
      </x:c>
    </x:row>
    <x:row r="668" ht="15" hidden="0" customHeight="1">
      <x:c r="A668" t="str">
        <x:v>10450667</x:v>
      </x:c>
      <x:c r="B668" t="str">
        <x:v>40870667</x:v>
      </x:c>
      <x:c r="C668" t="str">
        <x:v>2024-02-01</x:v>
      </x:c>
      <x:c r="D668" t="str">
        <x:v>2024-02-01</x:v>
      </x:c>
      <x:c r="E668" t="str">
        <x:v>2024-02-02</x:v>
      </x:c>
      <x:c r="F668" t="str">
        <x:v>U400-DEETHANIZER-500</x:v>
      </x:c>
      <x:c r="G668" t="str">
        <x:v>TV-501</x:v>
      </x:c>
      <x:c r="H668" t="str">
        <x:v>reboiler hot medium valve</x:v>
      </x:c>
      <x:c r="I668" t="str">
        <x:v>control_valve</x:v>
      </x:c>
      <x:c r="J668" t="str">
        <x:v>P4</x:v>
      </x:c>
      <x:c r="K668" t="str">
        <x:v>CLSD</x:v>
      </x:c>
      <x:c r="L668" t="str">
        <x:v>OPS+MECH</x:v>
      </x:c>
      <x:c r="M668" t="str">
        <x:v>feed_temperature_ramp</x:v>
      </x:c>
      <x:c r="N668" t="str">
        <x:v>passing</x:v>
      </x:c>
      <x:c r="O668" t="str">
        <x:v>LEAK_BY</x:v>
      </x:c>
      <x:c r="P668" t="str">
        <x:v>SEAT</x:v>
      </x:c>
      <x:c r="Q668" t="str">
        <x:v>N</x:v>
      </x:c>
      <x:c r="R668" t="str">
        <x:v>17.0</x:v>
      </x:c>
      <x:c r="S668" t="str">
        <x:v>5256.94</x:v>
      </x:c>
      <x:c r="T668" t="str">
        <x:v>TV-501 passing again</x:v>
      </x:c>
      <x:c r="U668" t="str">
        <x:v>B shift called for TV-501 reboiler hot medium valve, spec off seen during feed temperature ramp. Foud passing; seat leak by. Could not get permit first time waiting area gas test. opened strainer, cleaned black sludge. unit stable now. notif made by ops, maint attended same shift.</x:v>
      </x:c>
    </x:row>
    <x:row r="669" ht="15" hidden="0" customHeight="1">
      <x:c r="A669" t="str">
        <x:v>10450668</x:v>
      </x:c>
      <x:c r="B669" t="str">
        <x:v>40870668</x:v>
      </x:c>
      <x:c r="C669" t="str">
        <x:v>2024-01-31</x:v>
      </x:c>
      <x:c r="D669" t="str">
        <x:v>2024-01-31</x:v>
      </x:c>
      <x:c r="E669" t="str">
        <x:v>2024-01-31</x:v>
      </x:c>
      <x:c r="F669" t="str">
        <x:v>U400-DEETHANIZER-500</x:v>
      </x:c>
      <x:c r="G669" t="str">
        <x:v>AIT-501</x:v>
      </x:c>
      <x:c r="H669" t="str">
        <x:v>overhead C2 analyzer</x:v>
      </x:c>
      <x:c r="I669" t="str">
        <x:v>analyzer</x:v>
      </x:c>
      <x:c r="J669" t="str">
        <x:v>P3</x:v>
      </x:c>
      <x:c r="K669" t="str">
        <x:v>CLSD</x:v>
      </x:c>
      <x:c r="L669" t="str">
        <x:v>OPS+INST</x:v>
      </x:c>
      <x:c r="M669" t="str">
        <x:v>feed_composition_shift</x:v>
      </x:c>
      <x:c r="N669" t="str">
        <x:v>sample plugged</x:v>
      </x:c>
      <x:c r="O669" t="str">
        <x:v>PLUG</x:v>
      </x:c>
      <x:c r="P669" t="str">
        <x:v>SAMPLE</x:v>
      </x:c>
      <x:c r="Q669" t="str">
        <x:v>N</x:v>
      </x:c>
      <x:c r="R669" t="str">
        <x:v>7.6</x:v>
      </x:c>
      <x:c r="S669" t="str">
        <x:v>1452.36</x:v>
      </x:c>
      <x:c r="T669" t="str">
        <x:v>AIT-501 sample plugged again, prod upset</x:v>
      </x:c>
      <x:c r="U669" t="str">
        <x:v>B shift called for AIT-501 overhead C2 analyzer, btm heavy seen during feed composition shift. Foud sample plugged; fast loop low flow. swapped to standby and repaired. still little hunting but acceptable. notif made by ops, maint attended same shift.</x:v>
      </x:c>
    </x:row>
    <x:row r="670" ht="15" hidden="0" customHeight="1">
      <x:c r="A670" t="str">
        <x:v>10450669</x:v>
      </x:c>
      <x:c r="B670" t="str">
        <x:v>40870669</x:v>
      </x:c>
      <x:c r="C670" t="str">
        <x:v>2024-02-03</x:v>
      </x:c>
      <x:c r="D670" t="str">
        <x:v>2024-02-03</x:v>
      </x:c>
      <x:c r="E670" t="str">
        <x:v>2024-02-06</x:v>
      </x:c>
      <x:c r="F670" t="str">
        <x:v>U400-DEETHANIZER-500</x:v>
      </x:c>
      <x:c r="G670" t="str">
        <x:v>PV-501</x:v>
      </x:c>
      <x:c r="H670" t="str">
        <x:v>column pressure control valve</x:v>
      </x:c>
      <x:c r="I670" t="str">
        <x:v>control_valve</x:v>
      </x:c>
      <x:c r="J670" t="str">
        <x:v>P1</x:v>
      </x:c>
      <x:c r="K670" t="str">
        <x:v>COMP</x:v>
      </x:c>
      <x:c r="L670" t="str">
        <x:v>MECH</x:v>
      </x:c>
      <x:c r="M670" t="str">
        <x:v>condenser_fouling</x:v>
      </x:c>
      <x:c r="N670" t="str">
        <x:v>hunting loop</x:v>
      </x:c>
      <x:c r="O670" t="str">
        <x:v>CTRL_OSC</x:v>
      </x:c>
      <x:c r="P670" t="str">
        <x:v>TUNE</x:v>
      </x:c>
      <x:c r="Q670" t="str">
        <x:v>Y</x:v>
      </x:c>
      <x:c r="R670" t="str">
        <x:v>20.9</x:v>
      </x:c>
      <x:c r="S670" t="str">
        <x:v>4863.05</x:v>
      </x:c>
      <x:c r="T670" t="str">
        <x:v>PV-501 not ok after condenser fouling</x:v>
      </x:c>
      <x:c r="U670" t="str">
        <x:v>days called for PV-501 column pressure control valve, cond not pullng seen during condenser fouling. Foud hunting loop; bad response after upset. History shows same complain last mnth. opened strainer, cleaned black sludge. ops says ok for now. notif made by ops, maint attended same shift.</x:v>
      </x:c>
    </x:row>
    <x:row r="671" ht="15" hidden="0" customHeight="1">
      <x:c r="A671" t="str">
        <x:v>10450670</x:v>
      </x:c>
      <x:c r="B671" t="str">
        <x:v>40870670</x:v>
      </x:c>
      <x:c r="C671" t="str">
        <x:v>2024-02-06</x:v>
      </x:c>
      <x:c r="D671" t="str">
        <x:v>2024-02-06</x:v>
      </x:c>
      <x:c r="E671" t="str">
        <x:v>2024-02-08</x:v>
      </x:c>
      <x:c r="F671" t="str">
        <x:v>U400-DEETHANIZER-500</x:v>
      </x:c>
      <x:c r="G671" t="str">
        <x:v>FV-501</x:v>
      </x:c>
      <x:c r="H671" t="str">
        <x:v>feed flow control valve</x:v>
      </x:c>
      <x:c r="I671" t="str">
        <x:v>control_valve</x:v>
      </x:c>
      <x:c r="J671" t="str">
        <x:v>P3</x:v>
      </x:c>
      <x:c r="K671" t="str">
        <x:v>TECO</x:v>
      </x:c>
      <x:c r="L671" t="str">
        <x:v>ANLYZR</x:v>
      </x:c>
      <x:c r="M671" t="str">
        <x:v>feed_flow_step</x:v>
      </x:c>
      <x:c r="N671" t="str">
        <x:v>air leak</x:v>
      </x:c>
      <x:c r="O671" t="str">
        <x:v>AIR_LEAK</x:v>
      </x:c>
      <x:c r="P671" t="str">
        <x:v>TUBING</x:v>
      </x:c>
      <x:c r="Q671" t="str">
        <x:v>N</x:v>
      </x:c>
      <x:c r="R671" t="str">
        <x:v>4.8</x:v>
      </x:c>
      <x:c r="S671" t="str">
        <x:v>5881.68</x:v>
      </x:c>
      <x:c r="T671" t="str">
        <x:v>chk FV-501 - air leak frm ops</x:v>
      </x:c>
      <x:c r="U671" t="str">
        <x:v>B shift called for FV-501 feed flow control valve, fic hunting seen during feed flow step. Foud air leak; positioner supply drop. reset trip and monitored for 2 hrs. ops says ok for now. notif made by ops, maint attended same shift.</x:v>
      </x:c>
    </x:row>
    <x:row r="672" ht="15" hidden="0" customHeight="1">
      <x:c r="A672" t="str">
        <x:v>10450671</x:v>
      </x:c>
      <x:c r="B672" t="str">
        <x:v>40870671</x:v>
      </x:c>
      <x:c r="C672" t="str">
        <x:v>2024-02-08</x:v>
      </x:c>
      <x:c r="D672" t="str">
        <x:v>2024-02-08</x:v>
      </x:c>
      <x:c r="E672" t="str">
        <x:v>2024-02-10</x:v>
      </x:c>
      <x:c r="F672" t="str">
        <x:v>U400-DEETHANIZER-500</x:v>
      </x:c>
      <x:c r="G672" t="str">
        <x:v>TV-501</x:v>
      </x:c>
      <x:c r="H672" t="str">
        <x:v>reboiler hot medium valve</x:v>
      </x:c>
      <x:c r="I672" t="str">
        <x:v>control_valve</x:v>
      </x:c>
      <x:c r="J672" t="str">
        <x:v>P2</x:v>
      </x:c>
      <x:c r="K672" t="str">
        <x:v>TECO</x:v>
      </x:c>
      <x:c r="L672" t="str">
        <x:v>ANLYZR</x:v>
      </x:c>
      <x:c r="M672" t="str">
        <x:v>feed_temperature_ramp</x:v>
      </x:c>
      <x:c r="N672" t="str">
        <x:v>hunting loop</x:v>
      </x:c>
      <x:c r="O672" t="str">
        <x:v>CTRL_OSC</x:v>
      </x:c>
      <x:c r="P672" t="str">
        <x:v>TUNE</x:v>
      </x:c>
      <x:c r="Q672" t="str">
        <x:v>N</x:v>
      </x:c>
      <x:c r="R672" t="str">
        <x:v>7.5</x:v>
      </x:c>
      <x:c r="S672" t="str">
        <x:v>3495.46</x:v>
      </x:c>
      <x:c r="T672" t="str">
        <x:v>TV-501 hunting loop after upset</x:v>
      </x:c>
      <x:c r="U672" t="str">
        <x:v>night called for TV-501 reboiler hot medium valve, feed temp high seen during feed temperature ramp. Foud hunting loop; bad response after upset. Line was hot so job done slow and with ops standing by. reset trip and monitored for 2 hrs. temp repair only, plan shutdown job. notif made by ops, maint attended same shift.</x:v>
      </x:c>
    </x:row>
    <x:row r="673" ht="15" hidden="0" customHeight="1">
      <x:c r="A673" t="str">
        <x:v>10450672</x:v>
      </x:c>
      <x:c r="B673" t="str">
        <x:v>40870672</x:v>
      </x:c>
      <x:c r="C673" t="str">
        <x:v>2024-02-08</x:v>
      </x:c>
      <x:c r="D673" t="str">
        <x:v>2024-02-08</x:v>
      </x:c>
      <x:c r="E673" t="str">
        <x:v>2024-02-10</x:v>
      </x:c>
      <x:c r="F673" t="str">
        <x:v>U400-DEETHANIZER-500</x:v>
      </x:c>
      <x:c r="G673" t="str">
        <x:v>E-503</x:v>
      </x:c>
      <x:c r="H673" t="str">
        <x:v>feed bottoms exchanger</x:v>
      </x:c>
      <x:c r="I673" t="str">
        <x:v>exchanger</x:v>
      </x:c>
      <x:c r="J673" t="str">
        <x:v>P3</x:v>
      </x:c>
      <x:c r="K673" t="str">
        <x:v>CLSD</x:v>
      </x:c>
      <x:c r="L673" t="str">
        <x:v>ANLYZR</x:v>
      </x:c>
      <x:c r="M673" t="str">
        <x:v>feed_composition_shift</x:v>
      </x:c>
      <x:c r="N673" t="str">
        <x:v>gasket weep</x:v>
      </x:c>
      <x:c r="O673" t="str">
        <x:v>LEAK</x:v>
      </x:c>
      <x:c r="P673" t="str">
        <x:v>GASKET</x:v>
      </x:c>
      <x:c r="Q673" t="str">
        <x:v>N</x:v>
      </x:c>
      <x:c r="R673" t="str">
        <x:v>10.9</x:v>
      </x:c>
      <x:c r="S673" t="str">
        <x:v>7781.52</x:v>
      </x:c>
      <x:c r="T673" t="str">
        <x:v>E-503 not ok after feed composition shift</x:v>
      </x:c>
      <x:c r="U673" t="str">
        <x:v>A shift called for E-503 feed bottoms exchanger, anlyzr off seen during feed composition shift. Foud gasket weep; flange sweating. Could not get permit first time waiting area gas test. cleaned and put back online. need watch next feed swing. notif made by ops, maint attended same shift.</x:v>
      </x:c>
    </x:row>
    <x:row r="674" ht="15" hidden="0" customHeight="1">
      <x:c r="A674" t="str">
        <x:v>10450673</x:v>
      </x:c>
      <x:c r="B674" t="str">
        <x:v>40870673</x:v>
      </x:c>
      <x:c r="C674" t="str">
        <x:v>2024-02-11</x:v>
      </x:c>
      <x:c r="D674" t="str">
        <x:v>2024-02-11</x:v>
      </x:c>
      <x:c r="E674" t="str">
        <x:v>2024-02-11</x:v>
      </x:c>
      <x:c r="F674" t="str">
        <x:v>U400-DEETHANIZER-500</x:v>
      </x:c>
      <x:c r="G674" t="str">
        <x:v>P-501B</x:v>
      </x:c>
      <x:c r="H674" t="str">
        <x:v>reflux pump B</x:v>
      </x:c>
      <x:c r="I674" t="str">
        <x:v>pump</x:v>
      </x:c>
      <x:c r="J674" t="str">
        <x:v>P3</x:v>
      </x:c>
      <x:c r="K674" t="str">
        <x:v>CLSD</x:v>
      </x:c>
      <x:c r="L674" t="str">
        <x:v>INST</x:v>
      </x:c>
      <x:c r="M674" t="str">
        <x:v>reflux_pump_degradation</x:v>
      </x:c>
      <x:c r="N674" t="str">
        <x:v>vib high</x:v>
      </x:c>
      <x:c r="O674" t="str">
        <x:v>VIB</x:v>
      </x:c>
      <x:c r="P674" t="str">
        <x:v>ALIGN</x:v>
      </x:c>
      <x:c r="Q674" t="str">
        <x:v>N</x:v>
      </x:c>
      <x:c r="R674" t="str">
        <x:v>14.3</x:v>
      </x:c>
      <x:c r="S674" t="str">
        <x:v>9292.59</x:v>
      </x:c>
      <x:c r="T674" t="str">
        <x:v>P-501B low reflux, vib high</x:v>
      </x:c>
      <x:c r="U674" t="str">
        <x:v>C shift called for P-501B reflux pump B, pump vib seen during reflux pump degradation. Foud vib high; coupling align or cavitation. Could not get permit first time waiting area gas test. replaced positioner tubing and retuned small. temp repair only, plan shutdown job. notif made by ops, maint attended same shift.</x:v>
      </x:c>
    </x:row>
    <x:row r="675" ht="15" hidden="0" customHeight="1">
      <x:c r="A675" t="str">
        <x:v>10450674</x:v>
      </x:c>
      <x:c r="B675" t="str">
        <x:v>40870674</x:v>
      </x:c>
      <x:c r="C675" t="str">
        <x:v>2024-02-10</x:v>
      </x:c>
      <x:c r="D675" t="str">
        <x:v>2024-02-10</x:v>
      </x:c>
      <x:c r="E675" t="str">
        <x:v>2024-02-10</x:v>
      </x:c>
      <x:c r="F675" t="str">
        <x:v>U400-DEETHANIZER-500</x:v>
      </x:c>
      <x:c r="G675" t="str">
        <x:v>P-501A</x:v>
      </x:c>
      <x:c r="H675" t="str">
        <x:v>reflux pump A</x:v>
      </x:c>
      <x:c r="I675" t="str">
        <x:v>pump</x:v>
      </x:c>
      <x:c r="J675" t="str">
        <x:v>P3</x:v>
      </x:c>
      <x:c r="K675" t="str">
        <x:v>COMP</x:v>
      </x:c>
      <x:c r="L675" t="str">
        <x:v>VALVE</x:v>
      </x:c>
      <x:c r="M675" t="str">
        <x:v>reflux_pump_degradation</x:v>
      </x:c>
      <x:c r="N675" t="str">
        <x:v>bearing hot</x:v>
      </x:c>
      <x:c r="O675" t="str">
        <x:v>BRG</x:v>
      </x:c>
      <x:c r="P675" t="str">
        <x:v>WEAR</x:v>
      </x:c>
      <x:c r="Q675" t="str">
        <x:v>N</x:v>
      </x:c>
      <x:c r="R675" t="str">
        <x:v>9.2</x:v>
      </x:c>
      <x:c r="S675" t="str">
        <x:v>4352.66</x:v>
      </x:c>
      <x:c r="T675" t="str">
        <x:v>P-501A low reflux, bearing hot</x:v>
      </x:c>
      <x:c r="U675" t="str">
        <x:v>night called for P-501A rflx pump A, pump vib seen during rflx pump degradation. Foud bearing hot; brg rough, lube dark. tightened fittings, leak test ok. need watch next feed swing. notif made by ops, maint attended same shift.</x:v>
      </x:c>
    </x:row>
    <x:row r="676" ht="15" hidden="0" customHeight="1">
      <x:c r="A676" t="str">
        <x:v>10450675</x:v>
      </x:c>
      <x:c r="B676" t="str">
        <x:v>40870675</x:v>
      </x:c>
      <x:c r="C676" t="str">
        <x:v>2024-02-12</x:v>
      </x:c>
      <x:c r="D676" t="str">
        <x:v>2024-02-14</x:v>
      </x:c>
      <x:c r="E676" t="str">
        <x:v>2024-02-16</x:v>
      </x:c>
      <x:c r="F676" t="str">
        <x:v>U400-DEETHANIZER-500</x:v>
      </x:c>
      <x:c r="G676" t="str">
        <x:v>PV-501</x:v>
      </x:c>
      <x:c r="H676" t="str">
        <x:v>column pressure control valve</x:v>
      </x:c>
      <x:c r="I676" t="str">
        <x:v>control_valve</x:v>
      </x:c>
      <x:c r="J676" t="str">
        <x:v>P1</x:v>
      </x:c>
      <x:c r="K676" t="str">
        <x:v>CLSD</x:v>
      </x:c>
      <x:c r="L676" t="str">
        <x:v>E&amp;I</x:v>
      </x:c>
      <x:c r="M676" t="str">
        <x:v>valve_stiction</x:v>
      </x:c>
      <x:c r="N676" t="str">
        <x:v>stiction</x:v>
      </x:c>
      <x:c r="O676" t="str">
        <x:v>STICK</x:v>
      </x:c>
      <x:c r="P676" t="str">
        <x:v>PACKING</x:v>
      </x:c>
      <x:c r="Q676" t="str">
        <x:v>N</x:v>
      </x:c>
      <x:c r="R676" t="str">
        <x:v>1.8</x:v>
      </x:c>
      <x:c r="S676" t="str">
        <x:v>4237.77</x:v>
      </x:c>
      <x:c r="T676" t="str">
        <x:v>PV-501 stiction bad</x:v>
      </x:c>
      <x:c r="U676" t="str">
        <x:v>A shift called for PV-501 colmn pressure control valve, position bad seen during valve stiction. Foud stiction; stem sticky and pos err. Line was hot so job done slow and with ops standing by. flushed impulse/sample line. still little hunting but acceptable. notif made by ops, maint attended same shift.</x:v>
      </x:c>
    </x:row>
    <x:row r="677" ht="15" hidden="0" customHeight="1">
      <x:c r="A677" t="str">
        <x:v>10450676</x:v>
      </x:c>
      <x:c r="B677" t="str">
        <x:v>40870676</x:v>
      </x:c>
      <x:c r="C677" t="str">
        <x:v>2024-02-13</x:v>
      </x:c>
      <x:c r="D677" t="str">
        <x:v>2024-02-14</x:v>
      </x:c>
      <x:c r="E677" t="str">
        <x:v>2024-02-17</x:v>
      </x:c>
      <x:c r="F677" t="str">
        <x:v>U400-DEETHANIZER-500</x:v>
      </x:c>
      <x:c r="G677" t="str">
        <x:v>LV-502</x:v>
      </x:c>
      <x:c r="H677" t="str">
        <x:v>bottoms level valve</x:v>
      </x:c>
      <x:c r="I677" t="str">
        <x:v>control_valve</x:v>
      </x:c>
      <x:c r="J677" t="str">
        <x:v>P2</x:v>
      </x:c>
      <x:c r="K677" t="str">
        <x:v>COMP</x:v>
      </x:c>
      <x:c r="L677" t="str">
        <x:v>VALVE</x:v>
      </x:c>
      <x:c r="M677" t="str">
        <x:v>valve_stiction</x:v>
      </x:c>
      <x:c r="N677" t="str">
        <x:v>passing</x:v>
      </x:c>
      <x:c r="O677" t="str">
        <x:v>LEAK_BY</x:v>
      </x:c>
      <x:c r="P677" t="str">
        <x:v>SEAT</x:v>
      </x:c>
      <x:c r="Q677" t="str">
        <x:v>N</x:v>
      </x:c>
      <x:c r="R677" t="str">
        <x:v>7.1</x:v>
      </x:c>
      <x:c r="S677" t="str">
        <x:v>630.37</x:v>
      </x:c>
      <x:c r="T677" t="str">
        <x:v>LV-502 position bad, passing</x:v>
      </x:c>
      <x:c r="U677" t="str">
        <x:v>C shift called for LV-502 bottoms level valve, valve sticking seen during valve stiction. Foud passing; seat leak by. opened strainer, cleaned black sludge. no leak at handover. notif made by ops, maint attended same shift.</x:v>
      </x:c>
    </x:row>
    <x:row r="678" ht="15" hidden="0" customHeight="1">
      <x:c r="A678" t="str">
        <x:v>10450677</x:v>
      </x:c>
      <x:c r="B678" t="str">
        <x:v>40870677</x:v>
      </x:c>
      <x:c r="C678" t="str">
        <x:v>2024-02-12</x:v>
      </x:c>
      <x:c r="D678" t="str">
        <x:v>2024-02-12</x:v>
      </x:c>
      <x:c r="E678" t="str">
        <x:v>2024-02-13</x:v>
      </x:c>
      <x:c r="F678" t="str">
        <x:v>U400-DEETHANIZER-500</x:v>
      </x:c>
      <x:c r="G678" t="str">
        <x:v>T-501</x:v>
      </x:c>
      <x:c r="H678" t="str">
        <x:v>deethanizer column</x:v>
      </x:c>
      <x:c r="I678" t="str">
        <x:v>column</x:v>
      </x:c>
      <x:c r="J678" t="str">
        <x:v>P3</x:v>
      </x:c>
      <x:c r="K678" t="str">
        <x:v>COMP</x:v>
      </x:c>
      <x:c r="L678" t="str">
        <x:v>ANLYZR</x:v>
      </x:c>
      <x:c r="M678" t="str">
        <x:v>feed_flow_step</x:v>
      </x:c>
      <x:c r="N678" t="str">
        <x:v>weeping flange</x:v>
      </x:c>
      <x:c r="O678" t="str">
        <x:v>LEAK</x:v>
      </x:c>
      <x:c r="P678" t="str">
        <x:v>GASKET</x:v>
      </x:c>
      <x:c r="Q678" t="str">
        <x:v>N</x:v>
      </x:c>
      <x:c r="R678" t="str">
        <x:v>17.2</x:v>
      </x:c>
      <x:c r="S678" t="str">
        <x:v>4249.71</x:v>
      </x:c>
      <x:c r="T678" t="str">
        <x:v>T-501 weeping flange again, prod upset</x:v>
      </x:c>
      <x:c r="U678" t="str">
        <x:v>C shift called for T-501 deethanizer column, feed jump seen during feed flow step. Foud weeping flange; manway/flange seep. Tag plate dirty, confirmd by line up with panel. replaced positioner tubing and retuned small. no leak at handover. notif made by ops, maint attended same shift.</x:v>
      </x:c>
    </x:row>
    <x:row r="679" ht="15" hidden="0" customHeight="1">
      <x:c r="A679" t="str">
        <x:v>10450678</x:v>
      </x:c>
      <x:c r="B679" t="str">
        <x:v>40870678</x:v>
      </x:c>
      <x:c r="C679" t="str">
        <x:v>2024-02-19</x:v>
      </x:c>
      <x:c r="D679" t="str">
        <x:v>2024-02-19</x:v>
      </x:c>
      <x:c r="E679" t="str">
        <x:v>2024-02-21</x:v>
      </x:c>
      <x:c r="F679" t="str">
        <x:v>U400-DEETHANIZER-500</x:v>
      </x:c>
      <x:c r="G679" t="str">
        <x:v>V-501</x:v>
      </x:c>
      <x:c r="H679" t="str">
        <x:v>deethanizer reflux drum</x:v>
      </x:c>
      <x:c r="I679" t="str">
        <x:v>vessel</x:v>
      </x:c>
      <x:c r="J679" t="str">
        <x:v>P3</x:v>
      </x:c>
      <x:c r="K679" t="str">
        <x:v>TECO</x:v>
      </x:c>
      <x:c r="L679" t="str">
        <x:v>E&amp;I</x:v>
      </x:c>
      <x:c r="M679" t="str">
        <x:v>reboiler_duty_loss</x:v>
      </x:c>
      <x:c r="N679" t="str">
        <x:v>boot drain leak</x:v>
      </x:c>
      <x:c r="O679" t="str">
        <x:v>LEAK</x:v>
      </x:c>
      <x:c r="P679" t="str">
        <x:v>VALVE</x:v>
      </x:c>
      <x:c r="Q679" t="str">
        <x:v>N</x:v>
      </x:c>
      <x:c r="R679" t="str">
        <x:v>11.6</x:v>
      </x:c>
      <x:c r="S679" t="str">
        <x:v>5460.74</x:v>
      </x:c>
      <x:c r="T679" t="str">
        <x:v>chk V-501 - boot drain leak frm ops</x:v>
      </x:c>
      <x:c r="U679" t="str">
        <x:v>B shift called for V-501 deethanizer rflx drum, c2 in btm seen during reboiler duty loss. Foud boot drain leak; closed drain valve passing. stroke tested, response better. ops says ok for now. notif made by ops, maint attended same shift.</x:v>
      </x:c>
    </x:row>
    <x:row r="680" ht="15" hidden="0" customHeight="1">
      <x:c r="A680" t="str">
        <x:v>10450679</x:v>
      </x:c>
      <x:c r="B680" t="str">
        <x:v>40870679</x:v>
      </x:c>
      <x:c r="C680" t="str">
        <x:v>2024-02-18</x:v>
      </x:c>
      <x:c r="D680" t="str">
        <x:v>2024-02-19</x:v>
      </x:c>
      <x:c r="E680" t="str">
        <x:v>2024-02-24</x:v>
      </x:c>
      <x:c r="F680" t="str">
        <x:v>U400-DEETHANIZER-500</x:v>
      </x:c>
      <x:c r="G680" t="str">
        <x:v>V-501</x:v>
      </x:c>
      <x:c r="H680" t="str">
        <x:v>deethanizer reflux drum</x:v>
      </x:c>
      <x:c r="I680" t="str">
        <x:v>vessel</x:v>
      </x:c>
      <x:c r="J680" t="str">
        <x:v>P2</x:v>
      </x:c>
      <x:c r="K680" t="str">
        <x:v>CLSD</x:v>
      </x:c>
      <x:c r="L680" t="str">
        <x:v>OPS+MECH</x:v>
      </x:c>
      <x:c r="M680" t="str">
        <x:v>feed_temperature_ramp</x:v>
      </x:c>
      <x:c r="N680" t="str">
        <x:v>boot drain leak</x:v>
      </x:c>
      <x:c r="O680" t="str">
        <x:v>LEAK</x:v>
      </x:c>
      <x:c r="P680" t="str">
        <x:v>VALVE</x:v>
      </x:c>
      <x:c r="Q680" t="str">
        <x:v>N</x:v>
      </x:c>
      <x:c r="R680" t="str">
        <x:v>4.9</x:v>
      </x:c>
      <x:c r="S680" t="str">
        <x:v>4872.83</x:v>
      </x:c>
      <x:c r="T680" t="str">
        <x:v>V-501 rb duty up, boot drain leak</x:v>
      </x:c>
      <x:c r="U680" t="str">
        <x:v>night called for V-501 deethanizer reflux drum, feed temp high seen during feed temperature ramp. Foud boot drain leak; closed drain valve passing. opened strainer, cleaned black sludge. no leak at handover. notif made by ops, maint attended same shift.</x:v>
      </x:c>
    </x:row>
    <x:row r="681" ht="15" hidden="0" customHeight="1">
      <x:c r="A681" t="str">
        <x:v>10450680</x:v>
      </x:c>
      <x:c r="B681" t="str">
        <x:v>40870680</x:v>
      </x:c>
      <x:c r="C681" t="str">
        <x:v>2024-02-20</x:v>
      </x:c>
      <x:c r="D681" t="str">
        <x:v>2024-02-21</x:v>
      </x:c>
      <x:c r="E681" t="str">
        <x:v>2024-02-24</x:v>
      </x:c>
      <x:c r="F681" t="str">
        <x:v>U400-DEETHANIZER-500</x:v>
      </x:c>
      <x:c r="G681" t="str">
        <x:v>E-503</x:v>
      </x:c>
      <x:c r="H681" t="str">
        <x:v>feed bottoms exchanger</x:v>
      </x:c>
      <x:c r="I681" t="str">
        <x:v>exchanger</x:v>
      </x:c>
      <x:c r="J681" t="str">
        <x:v>P4</x:v>
      </x:c>
      <x:c r="K681" t="str">
        <x:v>COMP</x:v>
      </x:c>
      <x:c r="L681" t="str">
        <x:v>ANLYZR</x:v>
      </x:c>
      <x:c r="M681" t="str">
        <x:v>feed_flow_step</x:v>
      </x:c>
      <x:c r="N681" t="str">
        <x:v>temp approach bad</x:v>
      </x:c>
      <x:c r="O681" t="str">
        <x:v>PERF</x:v>
      </x:c>
      <x:c r="P681" t="str">
        <x:v>FOUL</x:v>
      </x:c>
      <x:c r="Q681" t="str">
        <x:v>N</x:v>
      </x:c>
      <x:c r="R681" t="str">
        <x:v>15.1</x:v>
      </x:c>
      <x:c r="S681" t="str">
        <x:v>11574.59</x:v>
      </x:c>
      <x:c r="T681" t="str">
        <x:v>E-503 feed jump, temp approach bad</x:v>
      </x:c>
      <x:c r="U681" t="str">
        <x:v>C shift called for E-503 feed bottoms exchanger, column dp high seen during feed flow step. Foud temp approach bad; heat transfer loss. Could not get permit first time waiting area gas test. opened strainer, cleaned black sludge. ops says ok for now. notif made by ops, maint attended same shift.</x:v>
      </x:c>
    </x:row>
    <x:row r="682" ht="15" hidden="0" customHeight="1">
      <x:c r="A682" t="str">
        <x:v>10450681</x:v>
      </x:c>
      <x:c r="B682" t="str">
        <x:v>40870681</x:v>
      </x:c>
      <x:c r="C682" t="str">
        <x:v>2024-02-18</x:v>
      </x:c>
      <x:c r="D682" t="str">
        <x:v>2024-02-18</x:v>
      </x:c>
      <x:c r="E682" t="str">
        <x:v>2024-02-20</x:v>
      </x:c>
      <x:c r="F682" t="str">
        <x:v>U400-DEETHANIZER-500</x:v>
      </x:c>
      <x:c r="G682" t="str">
        <x:v>E-503</x:v>
      </x:c>
      <x:c r="H682" t="str">
        <x:v>feed bottoms exchanger</x:v>
      </x:c>
      <x:c r="I682" t="str">
        <x:v>exchanger</x:v>
      </x:c>
      <x:c r="J682" t="str">
        <x:v>P2</x:v>
      </x:c>
      <x:c r="K682" t="str">
        <x:v>COMP</x:v>
      </x:c>
      <x:c r="L682" t="str">
        <x:v>OPS+INST</x:v>
      </x:c>
      <x:c r="M682" t="str">
        <x:v>feed_flow_step</x:v>
      </x:c>
      <x:c r="N682" t="str">
        <x:v>plugged pass</x:v>
      </x:c>
      <x:c r="O682" t="str">
        <x:v>PLUG</x:v>
      </x:c>
      <x:c r="P682" t="str">
        <x:v>FOUL</x:v>
      </x:c>
      <x:c r="Q682" t="str">
        <x:v>N</x:v>
      </x:c>
      <x:c r="R682" t="str">
        <x:v>3.7</x:v>
      </x:c>
      <x:c r="S682" t="str">
        <x:v>6342.09</x:v>
      </x:c>
      <x:c r="T682" t="str">
        <x:v>E-503 not ok after feed flow step</x:v>
      </x:c>
      <x:c r="U682" t="str">
        <x:v>days called for E-503 feed bottoms exchanger, feed jump seen during feed flow step. Foud plugged pass; flow restricted. tightened fittings, leak test ok. no leak at handover. notif made by ops, maint attended same shift.</x:v>
      </x:c>
    </x:row>
    <x:row r="683" ht="15" hidden="0" customHeight="1">
      <x:c r="A683" t="str">
        <x:v>10450682</x:v>
      </x:c>
      <x:c r="B683" t="str">
        <x:v>40870682</x:v>
      </x:c>
      <x:c r="C683" t="str">
        <x:v>2024-02-22</x:v>
      </x:c>
      <x:c r="D683" t="str">
        <x:v>2024-02-23</x:v>
      </x:c>
      <x:c r="E683" t="str">
        <x:v>2024-02-24</x:v>
      </x:c>
      <x:c r="F683" t="str">
        <x:v>U400-DEETHANIZER-500</x:v>
      </x:c>
      <x:c r="G683" t="str">
        <x:v>P-501B</x:v>
      </x:c>
      <x:c r="H683" t="str">
        <x:v>reflux pump B</x:v>
      </x:c>
      <x:c r="I683" t="str">
        <x:v>pump</x:v>
      </x:c>
      <x:c r="J683" t="str">
        <x:v>P2</x:v>
      </x:c>
      <x:c r="K683" t="str">
        <x:v>TECO</x:v>
      </x:c>
      <x:c r="L683" t="str">
        <x:v>VALVE</x:v>
      </x:c>
      <x:c r="M683" t="str">
        <x:v>normal_wear</x:v>
      </x:c>
      <x:c r="N683" t="str">
        <x:v>bearing hot</x:v>
      </x:c>
      <x:c r="O683" t="str">
        <x:v>BRG</x:v>
      </x:c>
      <x:c r="P683" t="str">
        <x:v>WEAR</x:v>
      </x:c>
      <x:c r="Q683" t="str">
        <x:v>Y</x:v>
      </x:c>
      <x:c r="R683" t="str">
        <x:v>20.5</x:v>
      </x:c>
      <x:c r="S683" t="str">
        <x:v>12615.99</x:v>
      </x:c>
      <x:c r="T683" t="str">
        <x:v>P-501B not ok after normal wear</x:v>
      </x:c>
      <x:c r="U683" t="str">
        <x:v>days called for P-501B reflux pump B, pm found defect seen during normal wear. Foud bearing hot; brg rough, lube dark. Line was hot so job done slow and with ops standing by. tightened fittings, leak test ok. readng close to dcs after job. notif made by ops, maint attended same shift.</x:v>
      </x:c>
    </x:row>
    <x:row r="684" ht="15" hidden="0" customHeight="1">
      <x:c r="A684" t="str">
        <x:v>10450683</x:v>
      </x:c>
      <x:c r="B684" t="str">
        <x:v>40870683</x:v>
      </x:c>
      <x:c r="C684" t="str">
        <x:v>2024-02-25</x:v>
      </x:c>
      <x:c r="D684" t="str">
        <x:v>2024-02-25</x:v>
      </x:c>
      <x:c r="E684" t="str">
        <x:v>2024-02-26</x:v>
      </x:c>
      <x:c r="F684" t="str">
        <x:v>U400-DEETHANIZER-500</x:v>
      </x:c>
      <x:c r="G684" t="str">
        <x:v>E-503</x:v>
      </x:c>
      <x:c r="H684" t="str">
        <x:v>feed bottoms exchanger</x:v>
      </x:c>
      <x:c r="I684" t="str">
        <x:v>exchanger</x:v>
      </x:c>
      <x:c r="J684" t="str">
        <x:v>P2</x:v>
      </x:c>
      <x:c r="K684" t="str">
        <x:v>CLSD</x:v>
      </x:c>
      <x:c r="L684" t="str">
        <x:v>INST</x:v>
      </x:c>
      <x:c r="M684" t="str">
        <x:v>feed_flow_step</x:v>
      </x:c>
      <x:c r="N684" t="str">
        <x:v>tube fouling</x:v>
      </x:c>
      <x:c r="O684" t="str">
        <x:v>FOULING</x:v>
      </x:c>
      <x:c r="P684" t="str">
        <x:v>PROCESS</x:v>
      </x:c>
      <x:c r="Q684" t="str">
        <x:v>N</x:v>
      </x:c>
      <x:c r="R684" t="str">
        <x:v>8.9</x:v>
      </x:c>
      <x:c r="S684" t="str">
        <x:v>10792.08</x:v>
      </x:c>
      <x:c r="T684" t="str">
        <x:v>E-503 tube fouling temp fix</x:v>
      </x:c>
      <x:c r="U684" t="str">
        <x:v>night called for E-503 feed bottoms exchanger, feed jump seen during feed flow step. Foud tube fouling; duty low, delta t poor. History shows same complain last mnth. flushed impulse/sample line. unit stable now. notif made by ops, maint attended same shift.</x:v>
      </x:c>
    </x:row>
    <x:row r="685" ht="15" hidden="0" customHeight="1">
      <x:c r="A685" t="str">
        <x:v>10450684</x:v>
      </x:c>
      <x:c r="B685" t="str">
        <x:v>40870684</x:v>
      </x:c>
      <x:c r="C685" t="str">
        <x:v>2024-02-27</x:v>
      </x:c>
      <x:c r="D685" t="str">
        <x:v>2024-02-29</x:v>
      </x:c>
      <x:c r="E685" t="str">
        <x:v>2024-03-02</x:v>
      </x:c>
      <x:c r="F685" t="str">
        <x:v>U400-DEETHANIZER-500</x:v>
      </x:c>
      <x:c r="G685" t="str">
        <x:v>TV-501</x:v>
      </x:c>
      <x:c r="H685" t="str">
        <x:v>reboiler hot medium valve</x:v>
      </x:c>
      <x:c r="I685" t="str">
        <x:v>control_valve</x:v>
      </x:c>
      <x:c r="J685" t="str">
        <x:v>P3</x:v>
      </x:c>
      <x:c r="K685" t="str">
        <x:v>COMP</x:v>
      </x:c>
      <x:c r="L685" t="str">
        <x:v>OPS+INST</x:v>
      </x:c>
      <x:c r="M685" t="str">
        <x:v>feed_temperature_ramp</x:v>
      </x:c>
      <x:c r="N685" t="str">
        <x:v>stiction</x:v>
      </x:c>
      <x:c r="O685" t="str">
        <x:v>STICK</x:v>
      </x:c>
      <x:c r="P685" t="str">
        <x:v>PACKING</x:v>
      </x:c>
      <x:c r="Q685" t="str">
        <x:v>N</x:v>
      </x:c>
      <x:c r="R685" t="str">
        <x:v>15.3</x:v>
      </x:c>
      <x:c r="S685" t="str">
        <x:v>3379.69</x:v>
      </x:c>
      <x:c r="T685" t="str">
        <x:v>TV-501 not ok after feed temperature ramp</x:v>
      </x:c>
      <x:c r="U685" t="str">
        <x:v>C shift called for TV-501 rebiler hot medium valve, rb duty up seen during feed temperature ramp. Foud stiction; stem sticky and pos err. Tag plate dirty, confirmd by line up with panel. cleaned and put back online. temp repair only, plan shutdown job. notif made by ops, maint attended same shift.</x:v>
      </x:c>
    </x:row>
    <x:row r="686" ht="15" hidden="0" customHeight="1">
      <x:c r="A686" t="str">
        <x:v>10450685</x:v>
      </x:c>
      <x:c r="B686" t="str">
        <x:v>40870685</x:v>
      </x:c>
      <x:c r="C686" t="str">
        <x:v>2024-02-26</x:v>
      </x:c>
      <x:c r="D686" t="str">
        <x:v>2024-02-27</x:v>
      </x:c>
      <x:c r="E686" t="str">
        <x:v>2024-02-28</x:v>
      </x:c>
      <x:c r="F686" t="str">
        <x:v>U400-DEETHANIZER-500</x:v>
      </x:c>
      <x:c r="G686" t="str">
        <x:v>FV-502</x:v>
      </x:c>
      <x:c r="H686" t="str">
        <x:v>reflux flow control valve</x:v>
      </x:c>
      <x:c r="I686" t="str">
        <x:v>control_valve</x:v>
      </x:c>
      <x:c r="J686" t="str">
        <x:v>P2</x:v>
      </x:c>
      <x:c r="K686" t="str">
        <x:v>CLSD</x:v>
      </x:c>
      <x:c r="L686" t="str">
        <x:v>MECH</x:v>
      </x:c>
      <x:c r="M686" t="str">
        <x:v>valve_stiction</x:v>
      </x:c>
      <x:c r="N686" t="str">
        <x:v>passing</x:v>
      </x:c>
      <x:c r="O686" t="str">
        <x:v>LEAK_BY</x:v>
      </x:c>
      <x:c r="P686" t="str">
        <x:v>SEAT</x:v>
      </x:c>
      <x:c r="Q686" t="str">
        <x:v>N</x:v>
      </x:c>
      <x:c r="R686" t="str">
        <x:v>13.3</x:v>
      </x:c>
      <x:c r="S686" t="str">
        <x:v>3368.45</x:v>
      </x:c>
      <x:c r="T686" t="str">
        <x:v>FV-502 passing after upset</x:v>
      </x:c>
      <x:c r="U686" t="str">
        <x:v>C shift called for FV-502 rflx flow control vavle, loop cycling seen during vavle stiction. Foud passing; seat leak by. No spare in store at first, used refurb one from shop. calibrated, loop checked with CCR. no leak at handover. notif made by ops, maint attended same shift.</x:v>
      </x:c>
    </x:row>
    <x:row r="687" ht="15" hidden="0" customHeight="1">
      <x:c r="A687" t="str">
        <x:v>10450686</x:v>
      </x:c>
      <x:c r="B687" t="str">
        <x:v>40870686</x:v>
      </x:c>
      <x:c r="C687" t="str">
        <x:v>2024-02-29</x:v>
      </x:c>
      <x:c r="D687" t="str">
        <x:v>2024-02-29</x:v>
      </x:c>
      <x:c r="E687" t="str">
        <x:v>2024-03-02</x:v>
      </x:c>
      <x:c r="F687" t="str">
        <x:v>U400-DEETHANIZER-500</x:v>
      </x:c>
      <x:c r="G687" t="str">
        <x:v>LV-502</x:v>
      </x:c>
      <x:c r="H687" t="str">
        <x:v>bottoms level valve</x:v>
      </x:c>
      <x:c r="I687" t="str">
        <x:v>control_valve</x:v>
      </x:c>
      <x:c r="J687" t="str">
        <x:v>P3</x:v>
      </x:c>
      <x:c r="K687" t="str">
        <x:v>CLSD</x:v>
      </x:c>
      <x:c r="L687" t="str">
        <x:v>INST</x:v>
      </x:c>
      <x:c r="M687" t="str">
        <x:v>normal_wear</x:v>
      </x:c>
      <x:c r="N687" t="str">
        <x:v>stiction</x:v>
      </x:c>
      <x:c r="O687" t="str">
        <x:v>STICK</x:v>
      </x:c>
      <x:c r="P687" t="str">
        <x:v>PACKING</x:v>
      </x:c>
      <x:c r="Q687" t="str">
        <x:v>N</x:v>
      </x:c>
      <x:c r="R687" t="str">
        <x:v>7.7</x:v>
      </x:c>
      <x:c r="S687" t="str">
        <x:v>2766.57</x:v>
      </x:c>
      <x:c r="T687" t="str">
        <x:v>chk LV-502 - stiction frm ops</x:v>
      </x:c>
      <x:c r="U687" t="str">
        <x:v>C shift called for LV-502 bottoms level vavle, leak seen during normal wear. Foud stiction; stem sticky and pos err. stroke tested, response better. unit stable now. notif made by ops, maint attended same shift.</x:v>
      </x:c>
    </x:row>
    <x:row r="688" ht="15" hidden="0" customHeight="1">
      <x:c r="A688" t="str">
        <x:v>10450687</x:v>
      </x:c>
      <x:c r="B688" t="str">
        <x:v>40870687</x:v>
      </x:c>
      <x:c r="C688" t="str">
        <x:v>2024-02-29</x:v>
      </x:c>
      <x:c r="D688" t="str">
        <x:v>2024-03-02</x:v>
      </x:c>
      <x:c r="E688" t="str">
        <x:v>2024-03-03</x:v>
      </x:c>
      <x:c r="F688" t="str">
        <x:v>U400-DEETHANIZER-500</x:v>
      </x:c>
      <x:c r="G688" t="str">
        <x:v>FV-502</x:v>
      </x:c>
      <x:c r="H688" t="str">
        <x:v>reflux flow control valve</x:v>
      </x:c>
      <x:c r="I688" t="str">
        <x:v>control_valve</x:v>
      </x:c>
      <x:c r="J688" t="str">
        <x:v>P3</x:v>
      </x:c>
      <x:c r="K688" t="str">
        <x:v>COMP</x:v>
      </x:c>
      <x:c r="L688" t="str">
        <x:v>VALVE</x:v>
      </x:c>
      <x:c r="M688" t="str">
        <x:v>reflux_pump_degradation</x:v>
      </x:c>
      <x:c r="N688" t="str">
        <x:v>air leak</x:v>
      </x:c>
      <x:c r="O688" t="str">
        <x:v>AIR_LEAK</x:v>
      </x:c>
      <x:c r="P688" t="str">
        <x:v>TUBING</x:v>
      </x:c>
      <x:c r="Q688" t="str">
        <x:v>N</x:v>
      </x:c>
      <x:c r="R688" t="str">
        <x:v>2.6</x:v>
      </x:c>
      <x:c r="S688" t="str">
        <x:v>6520.77</x:v>
      </x:c>
      <x:c r="T688" t="str">
        <x:v>FV-502 not ok after rflx pump degradation</x:v>
      </x:c>
      <x:c r="U688" t="str">
        <x:v>B shift called for FV-502 reflux flow control valve, low reflux seen during reflux pump degradation. Foud air leak; positioner supply drop. calibrated, loop checked with CCR. no leak at handover. notif made by ops, maint attended same shift.</x:v>
      </x:c>
    </x:row>
    <x:row r="689" ht="15" hidden="0" customHeight="1">
      <x:c r="A689" t="str">
        <x:v>10450688</x:v>
      </x:c>
      <x:c r="B689" t="str">
        <x:v>40870688</x:v>
      </x:c>
      <x:c r="C689" t="str">
        <x:v>2024-03-01</x:v>
      </x:c>
      <x:c r="D689" t="str">
        <x:v>2024-03-01</x:v>
      </x:c>
      <x:c r="E689" t="str">
        <x:v>2024-03-02</x:v>
      </x:c>
      <x:c r="F689" t="str">
        <x:v>U400-DEETHANIZER-500</x:v>
      </x:c>
      <x:c r="G689" t="str">
        <x:v>E-502</x:v>
      </x:c>
      <x:c r="H689" t="str">
        <x:v>deethanizer overhead condenser</x:v>
      </x:c>
      <x:c r="I689" t="str">
        <x:v>condenser</x:v>
      </x:c>
      <x:c r="J689" t="str">
        <x:v>P4</x:v>
      </x:c>
      <x:c r="K689" t="str">
        <x:v>COMP</x:v>
      </x:c>
      <x:c r="L689" t="str">
        <x:v>INST</x:v>
      </x:c>
      <x:c r="M689" t="str">
        <x:v>condenser_fouling</x:v>
      </x:c>
      <x:c r="N689" t="str">
        <x:v>cw fouling</x:v>
      </x:c>
      <x:c r="O689" t="str">
        <x:v>FOULING</x:v>
      </x:c>
      <x:c r="P689" t="str">
        <x:v>UTILITY</x:v>
      </x:c>
      <x:c r="Q689" t="str">
        <x:v>N</x:v>
      </x:c>
      <x:c r="R689" t="str">
        <x:v>4.9</x:v>
      </x:c>
      <x:c r="S689" t="str">
        <x:v>3110.24</x:v>
      </x:c>
      <x:c r="T689" t="str">
        <x:v>chk E-502 - cw fouling frm ops</x:v>
      </x:c>
      <x:c r="U689" t="str">
        <x:v>days called for E-502 deethanizer overhead condenser, high ovhd press seen during condenser fouling. Foud cw fouling; cw side scaled. No spare in store at first, used refurb one from shop. changed gasket and boxed up. no leak at handover. notif made by ops, maint attended same shift.</x:v>
      </x:c>
    </x:row>
    <x:row r="690" ht="15" hidden="0" customHeight="1">
      <x:c r="A690" t="str">
        <x:v>10450689</x:v>
      </x:c>
      <x:c r="B690" t="str">
        <x:v>40870689</x:v>
      </x:c>
      <x:c r="C690" t="str">
        <x:v>2024-03-03</x:v>
      </x:c>
      <x:c r="D690" t="str">
        <x:v>2024-03-04</x:v>
      </x:c>
      <x:c r="E690" t="str">
        <x:v>2024-03-05</x:v>
      </x:c>
      <x:c r="F690" t="str">
        <x:v>U400-DEETHANIZER-500</x:v>
      </x:c>
      <x:c r="G690" t="str">
        <x:v>PT-501</x:v>
      </x:c>
      <x:c r="H690" t="str">
        <x:v>column overhead pressure tx</x:v>
      </x:c>
      <x:c r="I690" t="str">
        <x:v>instrument</x:v>
      </x:c>
      <x:c r="J690" t="str">
        <x:v>P4</x:v>
      </x:c>
      <x:c r="K690" t="str">
        <x:v>COMP</x:v>
      </x:c>
      <x:c r="L690" t="str">
        <x:v>E&amp;I</x:v>
      </x:c>
      <x:c r="M690" t="str">
        <x:v>condenser_fouling</x:v>
      </x:c>
      <x:c r="N690" t="str">
        <x:v>bad reading</x:v>
      </x:c>
      <x:c r="O690" t="str">
        <x:v>DRIFT</x:v>
      </x:c>
      <x:c r="P690" t="str">
        <x:v>CAL</x:v>
      </x:c>
      <x:c r="Q690" t="str">
        <x:v>N</x:v>
      </x:c>
      <x:c r="R690" t="str">
        <x:v>1.8</x:v>
      </x:c>
      <x:c r="S690" t="str">
        <x:v>3349.51</x:v>
      </x:c>
      <x:c r="T690" t="str">
        <x:v>PT-501 high ovhd press, bad reading</x:v>
      </x:c>
      <x:c r="U690" t="str">
        <x:v>C shift called for PT-501 column overhead press tx, pic wide open seen during condenser fouling. Foud bad reading; needs calib. opened strainer, cleaned black sludge. no leak at handover. notif made by ops, maint attended same shift.</x:v>
      </x:c>
    </x:row>
    <x:row r="691" ht="15" hidden="0" customHeight="1">
      <x:c r="A691" t="str">
        <x:v>10450690</x:v>
      </x:c>
      <x:c r="B691" t="str">
        <x:v>40870690</x:v>
      </x:c>
      <x:c r="C691" t="str">
        <x:v>2024-03-06</x:v>
      </x:c>
      <x:c r="D691" t="str">
        <x:v>2024-03-07</x:v>
      </x:c>
      <x:c r="E691" t="str">
        <x:v>2024-03-09</x:v>
      </x:c>
      <x:c r="F691" t="str">
        <x:v>U400-DEETHANIZER-500</x:v>
      </x:c>
      <x:c r="G691" t="str">
        <x:v>E-503</x:v>
      </x:c>
      <x:c r="H691" t="str">
        <x:v>feed bottoms exchanger</x:v>
      </x:c>
      <x:c r="I691" t="str">
        <x:v>exchanger</x:v>
      </x:c>
      <x:c r="J691" t="str">
        <x:v>P3</x:v>
      </x:c>
      <x:c r="K691" t="str">
        <x:v>TECO</x:v>
      </x:c>
      <x:c r="L691" t="str">
        <x:v>E&amp;I</x:v>
      </x:c>
      <x:c r="M691" t="str">
        <x:v>feed_flow_step</x:v>
      </x:c>
      <x:c r="N691" t="str">
        <x:v>plugged pass</x:v>
      </x:c>
      <x:c r="O691" t="str">
        <x:v>PLUG</x:v>
      </x:c>
      <x:c r="P691" t="str">
        <x:v>FOUL</x:v>
      </x:c>
      <x:c r="Q691" t="str">
        <x:v>N</x:v>
      </x:c>
      <x:c r="R691" t="str">
        <x:v>11.4</x:v>
      </x:c>
      <x:c r="S691" t="str">
        <x:v>6033.26</x:v>
      </x:c>
      <x:c r="T691" t="str">
        <x:v>E-503 not ok after feed flow step</x:v>
      </x:c>
      <x:c r="U691" t="str">
        <x:v>C shift called for E-503 feed bottoms exchanger, c2 recov down seen during feed flow step. Foud plugged pass; flow restricted. Tag plate dirty, confirmd by line up with panel. replaced positioner tubing and retuned small. still little hunting but acceptable. notif made by ops, maint attended same shift.</x:v>
      </x:c>
    </x:row>
    <x:row r="692" ht="15" hidden="0" customHeight="1">
      <x:c r="A692" t="str">
        <x:v>10450691</x:v>
      </x:c>
      <x:c r="B692" t="str">
        <x:v>40870691</x:v>
      </x:c>
      <x:c r="C692" t="str">
        <x:v>2024-03-09</x:v>
      </x:c>
      <x:c r="D692" t="str">
        <x:v>2024-03-09</x:v>
      </x:c>
      <x:c r="E692" t="str">
        <x:v>2024-03-11</x:v>
      </x:c>
      <x:c r="F692" t="str">
        <x:v>U400-DEETHANIZER-500</x:v>
      </x:c>
      <x:c r="G692" t="str">
        <x:v>TV-501</x:v>
      </x:c>
      <x:c r="H692" t="str">
        <x:v>reboiler hot medium valve</x:v>
      </x:c>
      <x:c r="I692" t="str">
        <x:v>control_valve</x:v>
      </x:c>
      <x:c r="J692" t="str">
        <x:v>P4</x:v>
      </x:c>
      <x:c r="K692" t="str">
        <x:v>CLSD</x:v>
      </x:c>
      <x:c r="L692" t="str">
        <x:v>E&amp;I</x:v>
      </x:c>
      <x:c r="M692" t="str">
        <x:v>feed_temperature_ramp</x:v>
      </x:c>
      <x:c r="N692" t="str">
        <x:v>passing</x:v>
      </x:c>
      <x:c r="O692" t="str">
        <x:v>LEAK_BY</x:v>
      </x:c>
      <x:c r="P692" t="str">
        <x:v>SEAT</x:v>
      </x:c>
      <x:c r="Q692" t="str">
        <x:v>N</x:v>
      </x:c>
      <x:c r="R692" t="str">
        <x:v>14.9</x:v>
      </x:c>
      <x:c r="S692" t="str">
        <x:v>4629.36</x:v>
      </x:c>
      <x:c r="T692" t="str">
        <x:v>chk TV-501 - passing frm ops</x:v>
      </x:c>
      <x:c r="U692" t="str">
        <x:v>B shift called for TV-501 reboiler hot medium valve, feed temp high seen during feed temperature ramp. Foud passing; seat leak by. reset trip and monitored for 2 hrs. need watch next feed swing. notif made by ops, maint attended same shift.</x:v>
      </x:c>
    </x:row>
    <x:row r="693" ht="15" hidden="0" customHeight="1">
      <x:c r="A693" t="str">
        <x:v>10450692</x:v>
      </x:c>
      <x:c r="B693" t="str">
        <x:v>40870692</x:v>
      </x:c>
      <x:c r="C693" t="str">
        <x:v>2024-03-07</x:v>
      </x:c>
      <x:c r="D693" t="str">
        <x:v>2024-03-07</x:v>
      </x:c>
      <x:c r="E693" t="str">
        <x:v>2024-03-09</x:v>
      </x:c>
      <x:c r="F693" t="str">
        <x:v>U400-DEETHANIZER-500</x:v>
      </x:c>
      <x:c r="G693" t="str">
        <x:v>V-501</x:v>
      </x:c>
      <x:c r="H693" t="str">
        <x:v>deethanizer reflux drum</x:v>
      </x:c>
      <x:c r="I693" t="str">
        <x:v>vessel</x:v>
      </x:c>
      <x:c r="J693" t="str">
        <x:v>P4</x:v>
      </x:c>
      <x:c r="K693" t="str">
        <x:v>COMP</x:v>
      </x:c>
      <x:c r="L693" t="str">
        <x:v>MECH</x:v>
      </x:c>
      <x:c r="M693" t="str">
        <x:v>condenser_fouling</x:v>
      </x:c>
      <x:c r="N693" t="str">
        <x:v>level swing</x:v>
      </x:c>
      <x:c r="O693" t="str">
        <x:v>LVL_SWING</x:v>
      </x:c>
      <x:c r="P693" t="str">
        <x:v>CTRL</x:v>
      </x:c>
      <x:c r="Q693" t="str">
        <x:v>N</x:v>
      </x:c>
      <x:c r="R693" t="str">
        <x:v>17.5</x:v>
      </x:c>
      <x:c r="S693" t="str">
        <x:v>4452.75</x:v>
      </x:c>
      <x:c r="T693" t="str">
        <x:v>V-501 not ok after condenser fouling</x:v>
      </x:c>
      <x:c r="U693" t="str">
        <x:v>A shift called for V-501 deethanizer reflux drum, pic wide open seen during condenser fouling. Foud level swing; lt/lic problem. Could not get permit first time waiting area gas test. cleaned and put back online. no leak at handover. notif made by ops, maint attended same shift.</x:v>
      </x:c>
    </x:row>
    <x:row r="694" ht="15" hidden="0" customHeight="1">
      <x:c r="A694" t="str">
        <x:v>10450693</x:v>
      </x:c>
      <x:c r="B694" t="str">
        <x:v>40870693</x:v>
      </x:c>
      <x:c r="C694" t="str">
        <x:v>2024-03-09</x:v>
      </x:c>
      <x:c r="D694" t="str">
        <x:v>2024-03-10</x:v>
      </x:c>
      <x:c r="E694" t="str">
        <x:v>2024-03-11</x:v>
      </x:c>
      <x:c r="F694" t="str">
        <x:v>U400-DEETHANIZER-500</x:v>
      </x:c>
      <x:c r="G694" t="str">
        <x:v>E-501</x:v>
      </x:c>
      <x:c r="H694" t="str">
        <x:v>deethanizer reboiler</x:v>
      </x:c>
      <x:c r="I694" t="str">
        <x:v>reboiler</x:v>
      </x:c>
      <x:c r="J694" t="str">
        <x:v>P3</x:v>
      </x:c>
      <x:c r="K694" t="str">
        <x:v>COMP</x:v>
      </x:c>
      <x:c r="L694" t="str">
        <x:v>OPS+MECH</x:v>
      </x:c>
      <x:c r="M694" t="str">
        <x:v>reboiler_duty_loss</x:v>
      </x:c>
      <x:c r="N694" t="str">
        <x:v>rb leak</x:v>
      </x:c>
      <x:c r="O694" t="str">
        <x:v>LEAK</x:v>
      </x:c>
      <x:c r="P694" t="str">
        <x:v>GASKET</x:v>
      </x:c>
      <x:c r="Q694" t="str">
        <x:v>N</x:v>
      </x:c>
      <x:c r="R694" t="str">
        <x:v>17.8</x:v>
      </x:c>
      <x:c r="S694" t="str">
        <x:v>5195.93</x:v>
      </x:c>
      <x:c r="T694" t="str">
        <x:v>E-501 tray temp low, rb leak</x:v>
      </x:c>
      <x:c r="U694" t="str">
        <x:v>night called for E-501 deethanizer reboiler, c2 in btm seen during reboiler duty loss. Foud rb leak; channel flange weep. No spare in store at first, used refurb one from shop. opened strainer, cleaned black sludge. need watch next feed swing. notif made by ops, maint attended same shift.</x:v>
      </x:c>
    </x:row>
    <x:row r="695" ht="15" hidden="0" customHeight="1">
      <x:c r="A695" t="str">
        <x:v>10450694</x:v>
      </x:c>
      <x:c r="B695" t="str">
        <x:v>40870694</x:v>
      </x:c>
      <x:c r="C695" t="str">
        <x:v>2024-03-09</x:v>
      </x:c>
      <x:c r="D695" t="str">
        <x:v>2024-03-09</x:v>
      </x:c>
      <x:c r="E695" t="str">
        <x:v>2024-03-10</x:v>
      </x:c>
      <x:c r="F695" t="str">
        <x:v>U400-DEETHANIZER-500</x:v>
      </x:c>
      <x:c r="G695" t="str">
        <x:v>FV-502</x:v>
      </x:c>
      <x:c r="H695" t="str">
        <x:v>reflux flow control valve</x:v>
      </x:c>
      <x:c r="I695" t="str">
        <x:v>control_valve</x:v>
      </x:c>
      <x:c r="J695" t="str">
        <x:v>P3</x:v>
      </x:c>
      <x:c r="K695" t="str">
        <x:v>CLSD</x:v>
      </x:c>
      <x:c r="L695" t="str">
        <x:v>OPS+INST</x:v>
      </x:c>
      <x:c r="M695" t="str">
        <x:v>valve_stiction</x:v>
      </x:c>
      <x:c r="N695" t="str">
        <x:v>passing</x:v>
      </x:c>
      <x:c r="O695" t="str">
        <x:v>LEAK_BY</x:v>
      </x:c>
      <x:c r="P695" t="str">
        <x:v>SEAT</x:v>
      </x:c>
      <x:c r="Q695" t="str">
        <x:v>N</x:v>
      </x:c>
      <x:c r="R695" t="str">
        <x:v>7.4</x:v>
      </x:c>
      <x:c r="S695" t="str">
        <x:v>1163.43</x:v>
      </x:c>
      <x:c r="T695" t="str">
        <x:v>FV-502 air leak, passing</x:v>
      </x:c>
      <x:c r="U695" t="str">
        <x:v>days called for FV-502 reflux flow control valve, air leak seen during valve stiction. Foud passing; seat leak by. calibrated, loop checked with CCR. readng close to dcs after job. notif made by ops, maint attended same shift.</x:v>
      </x:c>
    </x:row>
    <x:row r="696" ht="15" hidden="0" customHeight="1">
      <x:c r="A696" t="str">
        <x:v>10450695</x:v>
      </x:c>
      <x:c r="B696" t="str">
        <x:v>40870695</x:v>
      </x:c>
      <x:c r="C696" t="str">
        <x:v>2024-03-14</x:v>
      </x:c>
      <x:c r="D696" t="str">
        <x:v>2024-03-16</x:v>
      </x:c>
      <x:c r="E696" t="str">
        <x:v>2024-03-17</x:v>
      </x:c>
      <x:c r="F696" t="str">
        <x:v>U400-DEETHANIZER-500</x:v>
      </x:c>
      <x:c r="G696" t="str">
        <x:v>AIT-502</x:v>
      </x:c>
      <x:c r="H696" t="str">
        <x:v>bottoms C3+ analyzer</x:v>
      </x:c>
      <x:c r="I696" t="str">
        <x:v>analyzer</x:v>
      </x:c>
      <x:c r="J696" t="str">
        <x:v>P2</x:v>
      </x:c>
      <x:c r="K696" t="str">
        <x:v>CLSD</x:v>
      </x:c>
      <x:c r="L696" t="str">
        <x:v>E&amp;I</x:v>
      </x:c>
      <x:c r="M696" t="str">
        <x:v>feed_flow_step</x:v>
      </x:c>
      <x:c r="N696" t="str">
        <x:v>bad gc cycle</x:v>
      </x:c>
      <x:c r="O696" t="str">
        <x:v>NO_ANALYSIS</x:v>
      </x:c>
      <x:c r="P696" t="str">
        <x:v>ELEC</x:v>
      </x:c>
      <x:c r="Q696" t="str">
        <x:v>N</x:v>
      </x:c>
      <x:c r="R696" t="str">
        <x:v>11.2</x:v>
      </x:c>
      <x:c r="S696" t="str">
        <x:v>3312.5</x:v>
      </x:c>
      <x:c r="T696" t="str">
        <x:v>AIT-502 bad gc cycle ops req</x:v>
      </x:c>
      <x:c r="U696" t="str">
        <x:v>night called for AIT-502 bottoms C3+ analyzer, fic hunting seen during feed flow step. Foud bad gc cycle; cycle abort. History shows same complain last mnth. opened strainer, cleaned black sludge. still little hunting but acceptable. notif made by ops, maint attended same shift.</x:v>
      </x:c>
    </x:row>
    <x:row r="697" ht="15" hidden="0" customHeight="1">
      <x:c r="A697" t="str">
        <x:v>10450696</x:v>
      </x:c>
      <x:c r="B697" t="str">
        <x:v>40870696</x:v>
      </x:c>
      <x:c r="C697" t="str">
        <x:v>2024-03-16</x:v>
      </x:c>
      <x:c r="D697" t="str">
        <x:v>2024-03-16</x:v>
      </x:c>
      <x:c r="E697" t="str">
        <x:v>2024-03-18</x:v>
      </x:c>
      <x:c r="F697" t="str">
        <x:v>U400-DEETHANIZER-500</x:v>
      </x:c>
      <x:c r="G697" t="str">
        <x:v>E-503</x:v>
      </x:c>
      <x:c r="H697" t="str">
        <x:v>feed bottoms exchanger</x:v>
      </x:c>
      <x:c r="I697" t="str">
        <x:v>exchanger</x:v>
      </x:c>
      <x:c r="J697" t="str">
        <x:v>P2</x:v>
      </x:c>
      <x:c r="K697" t="str">
        <x:v>TECO</x:v>
      </x:c>
      <x:c r="L697" t="str">
        <x:v>INST</x:v>
      </x:c>
      <x:c r="M697" t="str">
        <x:v>feed_flow_step</x:v>
      </x:c>
      <x:c r="N697" t="str">
        <x:v>plugged pass</x:v>
      </x:c>
      <x:c r="O697" t="str">
        <x:v>PLUG</x:v>
      </x:c>
      <x:c r="P697" t="str">
        <x:v>FOUL</x:v>
      </x:c>
      <x:c r="Q697" t="str">
        <x:v>Y</x:v>
      </x:c>
      <x:c r="R697" t="str">
        <x:v>12.0</x:v>
      </x:c>
      <x:c r="S697" t="str">
        <x:v>3028.08</x:v>
      </x:c>
      <x:c r="T697" t="str">
        <x:v>E-503 plugged pass again, prod upset</x:v>
      </x:c>
      <x:c r="U697" t="str">
        <x:v>A shift called for E-503 feed bottoms exchanger, c2 recov down seen during feed flow step. Foud plugged pass; flow restricted. opened strainer, cleaned black sludge. unit stable now. notif made by ops, maint attended same shift.</x:v>
      </x:c>
    </x:row>
    <x:row r="698" ht="15" hidden="0" customHeight="1">
      <x:c r="A698" t="str">
        <x:v>10450697</x:v>
      </x:c>
      <x:c r="B698" t="str">
        <x:v>40870697</x:v>
      </x:c>
      <x:c r="C698" t="str">
        <x:v>2024-03-18</x:v>
      </x:c>
      <x:c r="D698" t="str">
        <x:v>2024-03-19</x:v>
      </x:c>
      <x:c r="E698" t="str">
        <x:v>2024-03-19</x:v>
      </x:c>
      <x:c r="F698" t="str">
        <x:v>U400-DEETHANIZER-500</x:v>
      </x:c>
      <x:c r="G698" t="str">
        <x:v>PT-501</x:v>
      </x:c>
      <x:c r="H698" t="str">
        <x:v>column overhead pressure tx</x:v>
      </x:c>
      <x:c r="I698" t="str">
        <x:v>instrument</x:v>
      </x:c>
      <x:c r="J698" t="str">
        <x:v>P3</x:v>
      </x:c>
      <x:c r="K698" t="str">
        <x:v>COMP</x:v>
      </x:c>
      <x:c r="L698" t="str">
        <x:v>ANLYZR</x:v>
      </x:c>
      <x:c r="M698" t="str">
        <x:v>pressure_control_fault</x:v>
      </x:c>
      <x:c r="N698" t="str">
        <x:v>bad reading</x:v>
      </x:c>
      <x:c r="O698" t="str">
        <x:v>DRIFT</x:v>
      </x:c>
      <x:c r="P698" t="str">
        <x:v>CAL</x:v>
      </x:c>
      <x:c r="Q698" t="str">
        <x:v>N</x:v>
      </x:c>
      <x:c r="R698" t="str">
        <x:v>13.4</x:v>
      </x:c>
      <x:c r="S698" t="str">
        <x:v>3771.76</x:v>
      </x:c>
      <x:c r="T698" t="str">
        <x:v>PT-501 bad reading ops req</x:v>
      </x:c>
      <x:c r="U698" t="str">
        <x:v>days called for PT-501 column overhead pressure tx, press spike seen during pressure control fault. Foud bad reading; needs calib. reset trip and monitored for 2 hrs. still little hunting but acceptable. notif made by ops, maint attended same shift.</x:v>
      </x:c>
    </x:row>
    <x:row r="699" ht="15" hidden="0" customHeight="1">
      <x:c r="A699" t="str">
        <x:v>10450698</x:v>
      </x:c>
      <x:c r="B699" t="str">
        <x:v>40870698</x:v>
      </x:c>
      <x:c r="C699" t="str">
        <x:v>2024-03-17</x:v>
      </x:c>
      <x:c r="D699" t="str">
        <x:v>2024-03-18</x:v>
      </x:c>
      <x:c r="E699" t="str">
        <x:v>2024-03-19</x:v>
      </x:c>
      <x:c r="F699" t="str">
        <x:v>U400-DEETHANIZER-500</x:v>
      </x:c>
      <x:c r="G699" t="str">
        <x:v>FV-501</x:v>
      </x:c>
      <x:c r="H699" t="str">
        <x:v>feed flow control valve</x:v>
      </x:c>
      <x:c r="I699" t="str">
        <x:v>control_valve</x:v>
      </x:c>
      <x:c r="J699" t="str">
        <x:v>P4</x:v>
      </x:c>
      <x:c r="K699" t="str">
        <x:v>TECO</x:v>
      </x:c>
      <x:c r="L699" t="str">
        <x:v>ROT</x:v>
      </x:c>
      <x:c r="M699" t="str">
        <x:v>feed_flow_step</x:v>
      </x:c>
      <x:c r="N699" t="str">
        <x:v>passing</x:v>
      </x:c>
      <x:c r="O699" t="str">
        <x:v>LEAK_BY</x:v>
      </x:c>
      <x:c r="P699" t="str">
        <x:v>SEAT</x:v>
      </x:c>
      <x:c r="Q699" t="str">
        <x:v>N</x:v>
      </x:c>
      <x:c r="R699" t="str">
        <x:v>9.1</x:v>
      </x:c>
      <x:c r="S699" t="str">
        <x:v>1023.31</x:v>
      </x:c>
      <x:c r="T699" t="str">
        <x:v>FV-501 passing again, prod upset</x:v>
      </x:c>
      <x:c r="U699" t="str">
        <x:v>days called for FV-501 feed flow control valve, fic hunting seen during feed flow step. Foud passing; seat leak by. No spare in store at first, used refurb one from shop. tightened fittings, leak test ok. temp repair only, plan shutdown job. notif made by ops, maint attended same shift.</x:v>
      </x:c>
    </x:row>
    <x:row r="700" ht="15" hidden="0" customHeight="1">
      <x:c r="A700" t="str">
        <x:v>10450699</x:v>
      </x:c>
      <x:c r="B700" t="str">
        <x:v>40870699</x:v>
      </x:c>
      <x:c r="C700" t="str">
        <x:v>2024-03-20</x:v>
      </x:c>
      <x:c r="D700" t="str">
        <x:v>2024-03-21</x:v>
      </x:c>
      <x:c r="E700" t="str">
        <x:v>2024-03-23</x:v>
      </x:c>
      <x:c r="F700" t="str">
        <x:v>U400-DEETHANIZER-500</x:v>
      </x:c>
      <x:c r="G700" t="str">
        <x:v>FV-502</x:v>
      </x:c>
      <x:c r="H700" t="str">
        <x:v>reflux flow control valve</x:v>
      </x:c>
      <x:c r="I700" t="str">
        <x:v>control_valve</x:v>
      </x:c>
      <x:c r="J700" t="str">
        <x:v>P3</x:v>
      </x:c>
      <x:c r="K700" t="str">
        <x:v>TECO</x:v>
      </x:c>
      <x:c r="L700" t="str">
        <x:v>OPS+MECH</x:v>
      </x:c>
      <x:c r="M700" t="str">
        <x:v>valve_stiction</x:v>
      </x:c>
      <x:c r="N700" t="str">
        <x:v>passing</x:v>
      </x:c>
      <x:c r="O700" t="str">
        <x:v>LEAK_BY</x:v>
      </x:c>
      <x:c r="P700" t="str">
        <x:v>SEAT</x:v>
      </x:c>
      <x:c r="Q700" t="str">
        <x:v>N</x:v>
      </x:c>
      <x:c r="R700" t="str">
        <x:v>16.6</x:v>
      </x:c>
      <x:c r="S700" t="str">
        <x:v>6418.9</x:v>
      </x:c>
      <x:c r="T700" t="str">
        <x:v>FV-502 passing temp fix</x:v>
      </x:c>
      <x:c r="U700" t="str">
        <x:v>B shift called for FV-502 reflux flow ctrl valve, position bad seen during valve stiction. Foud passing; seat leak by. No spare in store at first, used refurb one from shop. stroke tested, response better. need watch next feed swing. notif made by ops, maint attended same shift.</x:v>
      </x:c>
    </x:row>
    <x:row r="701" ht="15" hidden="0" customHeight="1">
      <x:c r="A701" t="str">
        <x:v>10450700</x:v>
      </x:c>
      <x:c r="B701" t="str">
        <x:v>40870700</x:v>
      </x:c>
      <x:c r="C701" t="str">
        <x:v>2024-03-20</x:v>
      </x:c>
      <x:c r="D701" t="str">
        <x:v>2024-03-21</x:v>
      </x:c>
      <x:c r="E701" t="str">
        <x:v>2024-03-22</x:v>
      </x:c>
      <x:c r="F701" t="str">
        <x:v>U400-DEETHANIZER-500</x:v>
      </x:c>
      <x:c r="G701" t="str">
        <x:v>FV-502</x:v>
      </x:c>
      <x:c r="H701" t="str">
        <x:v>reflux flow control valve</x:v>
      </x:c>
      <x:c r="I701" t="str">
        <x:v>control_valve</x:v>
      </x:c>
      <x:c r="J701" t="str">
        <x:v>P3</x:v>
      </x:c>
      <x:c r="K701" t="str">
        <x:v>CLSD</x:v>
      </x:c>
      <x:c r="L701" t="str">
        <x:v>INST</x:v>
      </x:c>
      <x:c r="M701" t="str">
        <x:v>reflux_pump_degradation</x:v>
      </x:c>
      <x:c r="N701" t="str">
        <x:v>passing</x:v>
      </x:c>
      <x:c r="O701" t="str">
        <x:v>LEAK_BY</x:v>
      </x:c>
      <x:c r="P701" t="str">
        <x:v>SEAT</x:v>
      </x:c>
      <x:c r="Q701" t="str">
        <x:v>N</x:v>
      </x:c>
      <x:c r="R701" t="str">
        <x:v>5.2</x:v>
      </x:c>
      <x:c r="S701" t="str">
        <x:v>2784.43</x:v>
      </x:c>
      <x:c r="T701" t="str">
        <x:v>FV-502 passing again, prod upset</x:v>
      </x:c>
      <x:c r="U701" t="str">
        <x:v>C shift called for FV-502 reflux flow ctrl valve, min flow hot seen during reflux pump degradation. Foud passing; seat leak by. swapped to standby and repaired. temp repair only, plan shutdown job. notif made by ops, maint attended same shift.</x:v>
      </x:c>
    </x:row>
    <x:row r="702" ht="15" hidden="0" customHeight="1">
      <x:c r="A702" t="str">
        <x:v>10450701</x:v>
      </x:c>
      <x:c r="B702" t="str">
        <x:v>40870701</x:v>
      </x:c>
      <x:c r="C702" t="str">
        <x:v>2024-03-19</x:v>
      </x:c>
      <x:c r="D702" t="str">
        <x:v>2024-03-19</x:v>
      </x:c>
      <x:c r="E702" t="str">
        <x:v>2024-03-21</x:v>
      </x:c>
      <x:c r="F702" t="str">
        <x:v>U400-DEETHANIZER-500</x:v>
      </x:c>
      <x:c r="G702" t="str">
        <x:v>E-503</x:v>
      </x:c>
      <x:c r="H702" t="str">
        <x:v>feed bottoms exchanger</x:v>
      </x:c>
      <x:c r="I702" t="str">
        <x:v>exchanger</x:v>
      </x:c>
      <x:c r="J702" t="str">
        <x:v>P3</x:v>
      </x:c>
      <x:c r="K702" t="str">
        <x:v>COMP</x:v>
      </x:c>
      <x:c r="L702" t="str">
        <x:v>VALVE</x:v>
      </x:c>
      <x:c r="M702" t="str">
        <x:v>normal_wear</x:v>
      </x:c>
      <x:c r="N702" t="str">
        <x:v>gasket weep</x:v>
      </x:c>
      <x:c r="O702" t="str">
        <x:v>LEAK</x:v>
      </x:c>
      <x:c r="P702" t="str">
        <x:v>GASKET</x:v>
      </x:c>
      <x:c r="Q702" t="str">
        <x:v>N</x:v>
      </x:c>
      <x:c r="R702" t="str">
        <x:v>12.8</x:v>
      </x:c>
      <x:c r="S702" t="str">
        <x:v>4949.42</x:v>
      </x:c>
      <x:c r="T702" t="str">
        <x:v>E-503 gasket weep again, prod upset</x:v>
      </x:c>
      <x:c r="U702" t="str">
        <x:v>B shift called for E-503 feed bottoms exchanger, loose term seen during normal wear. Foud gasket weep; flange sweating. changed gasket and boxed up. need watch next feed swing. notif made by ops, maint attended same shift.</x:v>
      </x:c>
    </x:row>
    <x:row r="703" ht="15" hidden="0" customHeight="1">
      <x:c r="A703" t="str">
        <x:v>10450702</x:v>
      </x:c>
      <x:c r="B703" t="str">
        <x:v>40870702</x:v>
      </x:c>
      <x:c r="C703" t="str">
        <x:v>2024-03-20</x:v>
      </x:c>
      <x:c r="D703" t="str">
        <x:v>2024-03-21</x:v>
      </x:c>
      <x:c r="E703" t="str">
        <x:v>2024-03-22</x:v>
      </x:c>
      <x:c r="F703" t="str">
        <x:v>U400-DEETHANIZER-500</x:v>
      </x:c>
      <x:c r="G703" t="str">
        <x:v>DPT-501</x:v>
      </x:c>
      <x:c r="H703" t="str">
        <x:v>column diff pressure tx</x:v>
      </x:c>
      <x:c r="I703" t="str">
        <x:v>instrument</x:v>
      </x:c>
      <x:c r="J703" t="str">
        <x:v>P4</x:v>
      </x:c>
      <x:c r="K703" t="str">
        <x:v>TECO</x:v>
      </x:c>
      <x:c r="L703" t="str">
        <x:v>E&amp;I</x:v>
      </x:c>
      <x:c r="M703" t="str">
        <x:v>reboiler_duty_loss</x:v>
      </x:c>
      <x:c r="N703" t="str">
        <x:v>loose wire</x:v>
      </x:c>
      <x:c r="O703" t="str">
        <x:v>SIGNAL</x:v>
      </x:c>
      <x:c r="P703" t="str">
        <x:v>ELEC</x:v>
      </x:c>
      <x:c r="Q703" t="str">
        <x:v>N</x:v>
      </x:c>
      <x:c r="R703" t="str">
        <x:v>11.8</x:v>
      </x:c>
      <x:c r="S703" t="str">
        <x:v>1888.72</x:v>
      </x:c>
      <x:c r="T703" t="str">
        <x:v>DPT-501 rb circ cold, loose wire</x:v>
      </x:c>
      <x:c r="U703" t="str">
        <x:v>days called for DPT-501 colmn diff pressure tx, rb circ cold seen during reboiler duty loss. Foud loose wire; term loose. cleaned and put back online. ops says ok for now. notif made by ops, maint attended same shift.</x:v>
      </x:c>
    </x:row>
    <x:row r="704" ht="15" hidden="0" customHeight="1">
      <x:c r="A704" t="str">
        <x:v>10450703</x:v>
      </x:c>
      <x:c r="B704" t="str">
        <x:v>40870703</x:v>
      </x:c>
      <x:c r="C704" t="str">
        <x:v>2024-03-23</x:v>
      </x:c>
      <x:c r="D704" t="str">
        <x:v>2024-03-23</x:v>
      </x:c>
      <x:c r="E704" t="str">
        <x:v>2024-03-25</x:v>
      </x:c>
      <x:c r="F704" t="str">
        <x:v>U400-DEETHANIZER-500</x:v>
      </x:c>
      <x:c r="G704" t="str">
        <x:v>T-501</x:v>
      </x:c>
      <x:c r="H704" t="str">
        <x:v>deethanizer column</x:v>
      </x:c>
      <x:c r="I704" t="str">
        <x:v>column</x:v>
      </x:c>
      <x:c r="J704" t="str">
        <x:v>P2</x:v>
      </x:c>
      <x:c r="K704" t="str">
        <x:v>TECO</x:v>
      </x:c>
      <x:c r="L704" t="str">
        <x:v>INST</x:v>
      </x:c>
      <x:c r="M704" t="str">
        <x:v>feed_flow_step</x:v>
      </x:c>
      <x:c r="N704" t="str">
        <x:v>tray temp bad</x:v>
      </x:c>
      <x:c r="O704" t="str">
        <x:v>TEMP_DEV</x:v>
      </x:c>
      <x:c r="P704" t="str">
        <x:v>PROCESS</x:v>
      </x:c>
      <x:c r="Q704" t="str">
        <x:v>Y</x:v>
      </x:c>
      <x:c r="R704" t="str">
        <x:v>20.8</x:v>
      </x:c>
      <x:c r="S704" t="str">
        <x:v>5390.09</x:v>
      </x:c>
      <x:c r="T704" t="str">
        <x:v>chk T-501 - tray temp bad frm ops</x:v>
      </x:c>
      <x:c r="U704" t="str">
        <x:v>B shift called for T-501 deethanizer colmn, feed jump seen during feed flow step. Foud tray temp bad; profile not normal. flushed impulse/sample line. need watch next feed swing. notif made by ops, maint attended same shift.</x:v>
      </x:c>
    </x:row>
    <x:row r="705" ht="15" hidden="0" customHeight="1">
      <x:c r="A705" t="str">
        <x:v>10450704</x:v>
      </x:c>
      <x:c r="B705" t="str">
        <x:v>40870704</x:v>
      </x:c>
      <x:c r="C705" t="str">
        <x:v>2024-03-23</x:v>
      </x:c>
      <x:c r="D705" t="str">
        <x:v>2024-03-25</x:v>
      </x:c>
      <x:c r="E705" t="str">
        <x:v>2024-03-26</x:v>
      </x:c>
      <x:c r="F705" t="str">
        <x:v>U400-DEETHANIZER-500</x:v>
      </x:c>
      <x:c r="G705" t="str">
        <x:v>E-501</x:v>
      </x:c>
      <x:c r="H705" t="str">
        <x:v>deethanizer reboiler</x:v>
      </x:c>
      <x:c r="I705" t="str">
        <x:v>reboiler</x:v>
      </x:c>
      <x:c r="J705" t="str">
        <x:v>P4</x:v>
      </x:c>
      <x:c r="K705" t="str">
        <x:v>TECO</x:v>
      </x:c>
      <x:c r="L705" t="str">
        <x:v>OPS+MECH</x:v>
      </x:c>
      <x:c r="M705" t="str">
        <x:v>pressure_control_fault</x:v>
      </x:c>
      <x:c r="N705" t="str">
        <x:v>rb leak</x:v>
      </x:c>
      <x:c r="O705" t="str">
        <x:v>LEAK</x:v>
      </x:c>
      <x:c r="P705" t="str">
        <x:v>GASKET</x:v>
      </x:c>
      <x:c r="Q705" t="str">
        <x:v>N</x:v>
      </x:c>
      <x:c r="R705" t="str">
        <x:v>11.8</x:v>
      </x:c>
      <x:c r="S705" t="str">
        <x:v>11848.97</x:v>
      </x:c>
      <x:c r="T705" t="str">
        <x:v>E-501 rb leak chk &amp; revert</x:v>
      </x:c>
      <x:c r="U705" t="str">
        <x:v>C shift called for E-501 deethanizer reboiler, press spike seen during pressure control fault. Foud rb leak; channel flange weep. History shows same complain last mnth. tightened fittings, leak test ok. readng close to dcs after job. notif made by ops, maint attended same shift.</x:v>
      </x:c>
    </x:row>
    <x:row r="706" ht="15" hidden="0" customHeight="1">
      <x:c r="A706" t="str">
        <x:v>10450705</x:v>
      </x:c>
      <x:c r="B706" t="str">
        <x:v>40870705</x:v>
      </x:c>
      <x:c r="C706" t="str">
        <x:v>2024-03-29</x:v>
      </x:c>
      <x:c r="D706" t="str">
        <x:v>2024-03-30</x:v>
      </x:c>
      <x:c r="E706" t="str">
        <x:v>2024-03-31</x:v>
      </x:c>
      <x:c r="F706" t="str">
        <x:v>U400-DEETHANIZER-500</x:v>
      </x:c>
      <x:c r="G706" t="str">
        <x:v>FT-502</x:v>
      </x:c>
      <x:c r="H706" t="str">
        <x:v>reflux flow transmitter</x:v>
      </x:c>
      <x:c r="I706" t="str">
        <x:v>instrument</x:v>
      </x:c>
      <x:c r="J706" t="str">
        <x:v>P3</x:v>
      </x:c>
      <x:c r="K706" t="str">
        <x:v>CLSD</x:v>
      </x:c>
      <x:c r="L706" t="str">
        <x:v>E&amp;I</x:v>
      </x:c>
      <x:c r="M706" t="str">
        <x:v>reflux_pump_degradation</x:v>
      </x:c>
      <x:c r="N706" t="str">
        <x:v>loose wire</x:v>
      </x:c>
      <x:c r="O706" t="str">
        <x:v>SIGNAL</x:v>
      </x:c>
      <x:c r="P706" t="str">
        <x:v>ELEC</x:v>
      </x:c>
      <x:c r="Q706" t="str">
        <x:v>N</x:v>
      </x:c>
      <x:c r="R706" t="str">
        <x:v>2.1</x:v>
      </x:c>
      <x:c r="S706" t="str">
        <x:v>5688.22</x:v>
      </x:c>
      <x:c r="T706" t="str">
        <x:v>FT-502 loose wire again, prod upset</x:v>
      </x:c>
      <x:c r="U706" t="str">
        <x:v>night called for FT-502 reflux flow transmitter, pump vib seen during reflux pump degradation. Foud loose wire; term loose. tightened fittings, leak test ok. unit stable now. notif made by ops, maint attended same shift.</x:v>
      </x:c>
    </x:row>
    <x:row r="707" ht="15" hidden="0" customHeight="1">
      <x:c r="A707" t="str">
        <x:v>10450706</x:v>
      </x:c>
      <x:c r="B707" t="str">
        <x:v>40870706</x:v>
      </x:c>
      <x:c r="C707" t="str">
        <x:v>2024-03-29</x:v>
      </x:c>
      <x:c r="D707" t="str">
        <x:v>2024-03-30</x:v>
      </x:c>
      <x:c r="E707" t="str">
        <x:v>2024-04-01</x:v>
      </x:c>
      <x:c r="F707" t="str">
        <x:v>U400-DEETHANIZER-500</x:v>
      </x:c>
      <x:c r="G707" t="str">
        <x:v>V-501</x:v>
      </x:c>
      <x:c r="H707" t="str">
        <x:v>deethanizer reflux drum</x:v>
      </x:c>
      <x:c r="I707" t="str">
        <x:v>vessel</x:v>
      </x:c>
      <x:c r="J707" t="str">
        <x:v>P3</x:v>
      </x:c>
      <x:c r="K707" t="str">
        <x:v>COMP</x:v>
      </x:c>
      <x:c r="L707" t="str">
        <x:v>INST</x:v>
      </x:c>
      <x:c r="M707" t="str">
        <x:v>normal_wear</x:v>
      </x:c>
      <x:c r="N707" t="str">
        <x:v>level swing</x:v>
      </x:c>
      <x:c r="O707" t="str">
        <x:v>LVL_SWING</x:v>
      </x:c>
      <x:c r="P707" t="str">
        <x:v>CTRL</x:v>
      </x:c>
      <x:c r="Q707" t="str">
        <x:v>N</x:v>
      </x:c>
      <x:c r="R707" t="str">
        <x:v>10.9</x:v>
      </x:c>
      <x:c r="S707" t="str">
        <x:v>6167.36</x:v>
      </x:c>
      <x:c r="T707" t="str">
        <x:v>V-501 bad reading, level swing</x:v>
      </x:c>
      <x:c r="U707" t="str">
        <x:v>A shift called for V-501 deethanizer rflx drum, noise seen during normal wear. Foud level swing; lt/lic problem. Could not get permit first time waiting area gas test. opened strainer, cleaned black sludge. temp repair only, plan shutdown job. notif made by ops, maint attended same shift.</x:v>
      </x:c>
    </x:row>
    <x:row r="708" ht="15" hidden="0" customHeight="1">
      <x:c r="A708" t="str">
        <x:v>10450707</x:v>
      </x:c>
      <x:c r="B708" t="str">
        <x:v>40870707</x:v>
      </x:c>
      <x:c r="C708" t="str">
        <x:v>2024-03-27</x:v>
      </x:c>
      <x:c r="D708" t="str">
        <x:v>2024-03-28</x:v>
      </x:c>
      <x:c r="E708" t="str">
        <x:v>2024-03-29</x:v>
      </x:c>
      <x:c r="F708" t="str">
        <x:v>U400-DEETHANIZER-500</x:v>
      </x:c>
      <x:c r="G708" t="str">
        <x:v>P-501B</x:v>
      </x:c>
      <x:c r="H708" t="str">
        <x:v>reflux pump B</x:v>
      </x:c>
      <x:c r="I708" t="str">
        <x:v>pump</x:v>
      </x:c>
      <x:c r="J708" t="str">
        <x:v>P2</x:v>
      </x:c>
      <x:c r="K708" t="str">
        <x:v>TECO</x:v>
      </x:c>
      <x:c r="L708" t="str">
        <x:v>OPS+MECH</x:v>
      </x:c>
      <x:c r="M708" t="str">
        <x:v>valve_stiction</x:v>
      </x:c>
      <x:c r="N708" t="str">
        <x:v>bearing hot</x:v>
      </x:c>
      <x:c r="O708" t="str">
        <x:v>BRG</x:v>
      </x:c>
      <x:c r="P708" t="str">
        <x:v>WEAR</x:v>
      </x:c>
      <x:c r="Q708" t="str">
        <x:v>N</x:v>
      </x:c>
      <x:c r="R708" t="str">
        <x:v>3.7</x:v>
      </x:c>
      <x:c r="S708" t="str">
        <x:v>1108.87</x:v>
      </x:c>
      <x:c r="T708" t="str">
        <x:v>P-501B not ok after valve stiction</x:v>
      </x:c>
      <x:c r="U708" t="str">
        <x:v>B shift called for P-501B reflux pump B, air leak seen during vavle stiction. Foud bearing hot; brg rough, lube dark. replaced positioner tubing and retuned small. readng close to dcs after job. notif made by ops, maint attended same shift.</x:v>
      </x:c>
    </x:row>
    <x:row r="709" ht="15" hidden="0" customHeight="1">
      <x:c r="A709" t="str">
        <x:v>10450708</x:v>
      </x:c>
      <x:c r="B709" t="str">
        <x:v>40870708</x:v>
      </x:c>
      <x:c r="C709" t="str">
        <x:v>2024-04-02</x:v>
      </x:c>
      <x:c r="D709" t="str">
        <x:v>2024-04-04</x:v>
      </x:c>
      <x:c r="E709" t="str">
        <x:v>2024-04-06</x:v>
      </x:c>
      <x:c r="F709" t="str">
        <x:v>U400-DEETHANIZER-500</x:v>
      </x:c>
      <x:c r="G709" t="str">
        <x:v>TT-501B</x:v>
      </x:c>
      <x:c r="H709" t="str">
        <x:v>sensitive tray temperature tx</x:v>
      </x:c>
      <x:c r="I709" t="str">
        <x:v>instrument</x:v>
      </x:c>
      <x:c r="J709" t="str">
        <x:v>P3</x:v>
      </x:c>
      <x:c r="K709" t="str">
        <x:v>COMP</x:v>
      </x:c>
      <x:c r="L709" t="str">
        <x:v>ANLYZR</x:v>
      </x:c>
      <x:c r="M709" t="str">
        <x:v>reboiler_duty_loss</x:v>
      </x:c>
      <x:c r="N709" t="str">
        <x:v>loose wire</x:v>
      </x:c>
      <x:c r="O709" t="str">
        <x:v>SIGNAL</x:v>
      </x:c>
      <x:c r="P709" t="str">
        <x:v>ELEC</x:v>
      </x:c>
      <x:c r="Q709" t="str">
        <x:v>N</x:v>
      </x:c>
      <x:c r="R709" t="str">
        <x:v>12.8</x:v>
      </x:c>
      <x:c r="S709" t="str">
        <x:v>687.38</x:v>
      </x:c>
      <x:c r="T709" t="str">
        <x:v>TT-501B loose wire chk &amp; revert</x:v>
      </x:c>
      <x:c r="U709" t="str">
        <x:v>days called for TT-501B sensitive tray temperature tx, steam/hm valve no resp seen during reboiler duty loss. Foud loose wire; term loose. History shows same complain last mnth. tightened fittings, leak test ok. still little hunting but acceptable. notif made by ops, maint attended same shift.</x:v>
      </x:c>
    </x:row>
    <x:row r="710" ht="15" hidden="0" customHeight="1">
      <x:c r="A710" t="str">
        <x:v>10450709</x:v>
      </x:c>
      <x:c r="B710" t="str">
        <x:v>40870709</x:v>
      </x:c>
      <x:c r="C710" t="str">
        <x:v>2024-04-04</x:v>
      </x:c>
      <x:c r="D710" t="str">
        <x:v>2024-04-05</x:v>
      </x:c>
      <x:c r="E710" t="str">
        <x:v>2024-04-06</x:v>
      </x:c>
      <x:c r="F710" t="str">
        <x:v>U400-DEETHANIZER-500</x:v>
      </x:c>
      <x:c r="G710" t="str">
        <x:v>PV-501</x:v>
      </x:c>
      <x:c r="H710" t="str">
        <x:v>column pressure control valve</x:v>
      </x:c>
      <x:c r="I710" t="str">
        <x:v>control_valve</x:v>
      </x:c>
      <x:c r="J710" t="str">
        <x:v>P3</x:v>
      </x:c>
      <x:c r="K710" t="str">
        <x:v>COMP</x:v>
      </x:c>
      <x:c r="L710" t="str">
        <x:v>MECH</x:v>
      </x:c>
      <x:c r="M710" t="str">
        <x:v>normal_wear</x:v>
      </x:c>
      <x:c r="N710" t="str">
        <x:v>air leak</x:v>
      </x:c>
      <x:c r="O710" t="str">
        <x:v>AIR_LEAK</x:v>
      </x:c>
      <x:c r="P710" t="str">
        <x:v>TUBING</x:v>
      </x:c>
      <x:c r="Q710" t="str">
        <x:v>N</x:v>
      </x:c>
      <x:c r="R710" t="str">
        <x:v>10.9</x:v>
      </x:c>
      <x:c r="S710" t="str">
        <x:v>6531.86</x:v>
      </x:c>
      <x:c r="T710" t="str">
        <x:v>PV-501 air leak again, prod upset</x:v>
      </x:c>
      <x:c r="U710" t="str">
        <x:v>days called for PV-501 column pressure control vavle, bad reading seen during normal wear. Foud air leak; positioner supply drop. replaced positioner tubing and retuned small. still little hunting but acceptable. notif made by ops, maint attended same shift.</x:v>
      </x:c>
    </x:row>
    <x:row r="711" ht="15" hidden="0" customHeight="1">
      <x:c r="A711" t="str">
        <x:v>10450710</x:v>
      </x:c>
      <x:c r="B711" t="str">
        <x:v>40870710</x:v>
      </x:c>
      <x:c r="C711" t="str">
        <x:v>2024-04-02</x:v>
      </x:c>
      <x:c r="D711" t="str">
        <x:v>2024-04-04</x:v>
      </x:c>
      <x:c r="E711" t="str">
        <x:v>2024-04-06</x:v>
      </x:c>
      <x:c r="F711" t="str">
        <x:v>U400-DEETHANIZER-500</x:v>
      </x:c>
      <x:c r="G711" t="str">
        <x:v>P-501B</x:v>
      </x:c>
      <x:c r="H711" t="str">
        <x:v>reflux pump B</x:v>
      </x:c>
      <x:c r="I711" t="str">
        <x:v>pump</x:v>
      </x:c>
      <x:c r="J711" t="str">
        <x:v>P2</x:v>
      </x:c>
      <x:c r="K711" t="str">
        <x:v>CLSD</x:v>
      </x:c>
      <x:c r="L711" t="str">
        <x:v>MECH</x:v>
      </x:c>
      <x:c r="M711" t="str">
        <x:v>reflux_pump_degradation</x:v>
      </x:c>
      <x:c r="N711" t="str">
        <x:v>motor trip</x:v>
      </x:c>
      <x:c r="O711" t="str">
        <x:v>MOTOR</x:v>
      </x:c>
      <x:c r="P711" t="str">
        <x:v>ELEC</x:v>
      </x:c>
      <x:c r="Q711" t="str">
        <x:v>Y</x:v>
      </x:c>
      <x:c r="R711" t="str">
        <x:v>15.7</x:v>
      </x:c>
      <x:c r="S711" t="str">
        <x:v>16812.78</x:v>
      </x:c>
      <x:c r="T711" t="str">
        <x:v>P-501B not ok after reflux pump degradation</x:v>
      </x:c>
      <x:c r="U711" t="str">
        <x:v>days called for P-501B reflux pump B, low reflux seen during reflux pump degradation. Foud motor trip; overload trip after upset. cleaned and put back online. ops says ok for now. notif made by ops, maint attended same shift.</x:v>
      </x:c>
    </x:row>
    <x:row r="712" ht="15" hidden="0" customHeight="1">
      <x:c r="A712" t="str">
        <x:v>10450711</x:v>
      </x:c>
      <x:c r="B712" t="str">
        <x:v>40870711</x:v>
      </x:c>
      <x:c r="C712" t="str">
        <x:v>2024-04-06</x:v>
      </x:c>
      <x:c r="D712" t="str">
        <x:v>2024-04-06</x:v>
      </x:c>
      <x:c r="E712" t="str">
        <x:v>2024-04-08</x:v>
      </x:c>
      <x:c r="F712" t="str">
        <x:v>U400-DEETHANIZER-500</x:v>
      </x:c>
      <x:c r="G712" t="str">
        <x:v>TV-502</x:v>
      </x:c>
      <x:c r="H712" t="str">
        <x:v>condenser cooling valve</x:v>
      </x:c>
      <x:c r="I712" t="str">
        <x:v>control_valve</x:v>
      </x:c>
      <x:c r="J712" t="str">
        <x:v>P4</x:v>
      </x:c>
      <x:c r="K712" t="str">
        <x:v>COMP</x:v>
      </x:c>
      <x:c r="L712" t="str">
        <x:v>INST</x:v>
      </x:c>
      <x:c r="M712" t="str">
        <x:v>condenser_fouling</x:v>
      </x:c>
      <x:c r="N712" t="str">
        <x:v>not stroking</x:v>
      </x:c>
      <x:c r="O712" t="str">
        <x:v>NO_TRAVEL</x:v>
      </x:c>
      <x:c r="P712" t="str">
        <x:v>ACT</x:v>
      </x:c>
      <x:c r="Q712" t="str">
        <x:v>N</x:v>
      </x:c>
      <x:c r="R712" t="str">
        <x:v>5.7</x:v>
      </x:c>
      <x:c r="S712" t="str">
        <x:v>504.86</x:v>
      </x:c>
      <x:c r="T712" t="str">
        <x:v>chk TV-502 - not stroking frm ops</x:v>
      </x:c>
      <x:c r="U712" t="str">
        <x:v>days called for TV-502 condenser cooling valve, drum temp hi seen during condenser fouling. Foud not stroking; actuator weak. No spare in store at first, used refurb one from shop. flushed impulse/sample line. need watch next feed swing. notif made by ops, maint attended same shift.</x:v>
      </x:c>
    </x:row>
    <x:row r="713" ht="15" hidden="0" customHeight="1">
      <x:c r="A713" t="str">
        <x:v>10450712</x:v>
      </x:c>
      <x:c r="B713" t="str">
        <x:v>40870712</x:v>
      </x:c>
      <x:c r="C713" t="str">
        <x:v>2024-04-08</x:v>
      </x:c>
      <x:c r="D713" t="str">
        <x:v>2024-04-08</x:v>
      </x:c>
      <x:c r="E713" t="str">
        <x:v>2024-04-09</x:v>
      </x:c>
      <x:c r="F713" t="str">
        <x:v>U400-DEETHANIZER-500</x:v>
      </x:c>
      <x:c r="G713" t="str">
        <x:v>FT-502</x:v>
      </x:c>
      <x:c r="H713" t="str">
        <x:v>reflux flow transmitter</x:v>
      </x:c>
      <x:c r="I713" t="str">
        <x:v>instrument</x:v>
      </x:c>
      <x:c r="J713" t="str">
        <x:v>P2</x:v>
      </x:c>
      <x:c r="K713" t="str">
        <x:v>TECO</x:v>
      </x:c>
      <x:c r="L713" t="str">
        <x:v>ANLYZR</x:v>
      </x:c>
      <x:c r="M713" t="str">
        <x:v>reflux_pump_degradation</x:v>
      </x:c>
      <x:c r="N713" t="str">
        <x:v>bad reading</x:v>
      </x:c>
      <x:c r="O713" t="str">
        <x:v>DRIFT</x:v>
      </x:c>
      <x:c r="P713" t="str">
        <x:v>CAL</x:v>
      </x:c>
      <x:c r="Q713" t="str">
        <x:v>N</x:v>
      </x:c>
      <x:c r="R713" t="str">
        <x:v>2.5</x:v>
      </x:c>
      <x:c r="S713" t="str">
        <x:v>5162.48</x:v>
      </x:c>
      <x:c r="T713" t="str">
        <x:v>FT-502 not ok after reflux pump degradation</x:v>
      </x:c>
      <x:c r="U713" t="str">
        <x:v>A shift called for FT-502 reflux flow transmitter, disch press low seen during reflux pump degradation. Foud bad reading; needs calib. No spare in store at first, used refurb one from shop. calibrated, loop checked with CCR. unit stable now. notif made by ops, maint attended same shift.</x:v>
      </x:c>
    </x:row>
    <x:row r="714" ht="15" hidden="0" customHeight="1">
      <x:c r="A714" t="str">
        <x:v>10450713</x:v>
      </x:c>
      <x:c r="B714" t="str">
        <x:v>40870713</x:v>
      </x:c>
      <x:c r="C714" t="str">
        <x:v>2024-04-08</x:v>
      </x:c>
      <x:c r="D714" t="str">
        <x:v>2024-04-09</x:v>
      </x:c>
      <x:c r="E714" t="str">
        <x:v>2024-04-10</x:v>
      </x:c>
      <x:c r="F714" t="str">
        <x:v>U400-DEETHANIZER-500</x:v>
      </x:c>
      <x:c r="G714" t="str">
        <x:v>LV-502</x:v>
      </x:c>
      <x:c r="H714" t="str">
        <x:v>bottoms level valve</x:v>
      </x:c>
      <x:c r="I714" t="str">
        <x:v>control_valve</x:v>
      </x:c>
      <x:c r="J714" t="str">
        <x:v>P1</x:v>
      </x:c>
      <x:c r="K714" t="str">
        <x:v>TECO</x:v>
      </x:c>
      <x:c r="L714" t="str">
        <x:v>ROT</x:v>
      </x:c>
      <x:c r="M714" t="str">
        <x:v>pressure_control_fault</x:v>
      </x:c>
      <x:c r="N714" t="str">
        <x:v>hunting loop</x:v>
      </x:c>
      <x:c r="O714" t="str">
        <x:v>CTRL_OSC</x:v>
      </x:c>
      <x:c r="P714" t="str">
        <x:v>TUNE</x:v>
      </x:c>
      <x:c r="Q714" t="str">
        <x:v>N</x:v>
      </x:c>
      <x:c r="R714" t="str">
        <x:v>14.5</x:v>
      </x:c>
      <x:c r="S714" t="str">
        <x:v>909.69</x:v>
      </x:c>
      <x:c r="T714" t="str">
        <x:v>LV-502 hunting loop asap</x:v>
      </x:c>
      <x:c r="U714" t="str">
        <x:v>night called for LV-502 bottoms level valve, pic unstable seen during pressure control fault. Foud hunting loop; bad response after upset. replaced positioner tubing and retuned small. ops says ok for now. notif made by ops, maint attended same shift.</x:v>
      </x:c>
    </x:row>
    <x:row r="715" ht="15" hidden="0" customHeight="1">
      <x:c r="A715" t="str">
        <x:v>10450714</x:v>
      </x:c>
      <x:c r="B715" t="str">
        <x:v>40870714</x:v>
      </x:c>
      <x:c r="C715" t="str">
        <x:v>2024-04-07</x:v>
      </x:c>
      <x:c r="D715" t="str">
        <x:v>2024-04-08</x:v>
      </x:c>
      <x:c r="E715" t="str">
        <x:v>2024-04-10</x:v>
      </x:c>
      <x:c r="F715" t="str">
        <x:v>U400-DEETHANIZER-500</x:v>
      </x:c>
      <x:c r="G715" t="str">
        <x:v>TV-502</x:v>
      </x:c>
      <x:c r="H715" t="str">
        <x:v>condenser cooling valve</x:v>
      </x:c>
      <x:c r="I715" t="str">
        <x:v>control_valve</x:v>
      </x:c>
      <x:c r="J715" t="str">
        <x:v>P2</x:v>
      </x:c>
      <x:c r="K715" t="str">
        <x:v>COMP</x:v>
      </x:c>
      <x:c r="L715" t="str">
        <x:v>MECH</x:v>
      </x:c>
      <x:c r="M715" t="str">
        <x:v>feed_temperature_ramp</x:v>
      </x:c>
      <x:c r="N715" t="str">
        <x:v>not stroking</x:v>
      </x:c>
      <x:c r="O715" t="str">
        <x:v>NO_TRAVEL</x:v>
      </x:c>
      <x:c r="P715" t="str">
        <x:v>ACT</x:v>
      </x:c>
      <x:c r="Q715" t="str">
        <x:v>N</x:v>
      </x:c>
      <x:c r="R715" t="str">
        <x:v>14.6</x:v>
      </x:c>
      <x:c r="S715" t="str">
        <x:v>2900.48</x:v>
      </x:c>
      <x:c r="T715" t="str">
        <x:v>TV-502 not ok after feed temperature ramp</x:v>
      </x:c>
      <x:c r="U715" t="str">
        <x:v>B shift called for TV-502 condenser cooling vavle, spec off seen during feed temperature ramp. Foud not stroking; actuator weak. swapped to standby and repaired. temp repair only, plan shutdown job. notif made by ops, maint attended same shift.</x:v>
      </x:c>
    </x:row>
    <x:row r="716" ht="15" hidden="0" customHeight="1">
      <x:c r="A716" t="str">
        <x:v>10450715</x:v>
      </x:c>
      <x:c r="B716" t="str">
        <x:v>40870715</x:v>
      </x:c>
      <x:c r="C716" t="str">
        <x:v>2024-04-09</x:v>
      </x:c>
      <x:c r="D716" t="str">
        <x:v>2024-04-10</x:v>
      </x:c>
      <x:c r="E716" t="str">
        <x:v>2024-04-15</x:v>
      </x:c>
      <x:c r="F716" t="str">
        <x:v>U400-DEETHANIZER-500</x:v>
      </x:c>
      <x:c r="G716" t="str">
        <x:v>AIT-501</x:v>
      </x:c>
      <x:c r="H716" t="str">
        <x:v>overhead C2 analyzer</x:v>
      </x:c>
      <x:c r="I716" t="str">
        <x:v>analyzer</x:v>
      </x:c>
      <x:c r="J716" t="str">
        <x:v>P3</x:v>
      </x:c>
      <x:c r="K716" t="str">
        <x:v>TECO</x:v>
      </x:c>
      <x:c r="L716" t="str">
        <x:v>OPS+INST</x:v>
      </x:c>
      <x:c r="M716" t="str">
        <x:v>feed_temperature_ramp</x:v>
      </x:c>
      <x:c r="N716" t="str">
        <x:v>condensate in sample</x:v>
      </x:c>
      <x:c r="O716" t="str">
        <x:v>LIQ_CARRY</x:v>
      </x:c>
      <x:c r="P716" t="str">
        <x:v>SAMPLE</x:v>
      </x:c>
      <x:c r="Q716" t="str">
        <x:v>N</x:v>
      </x:c>
      <x:c r="R716" t="str">
        <x:v>10.0</x:v>
      </x:c>
      <x:c r="S716" t="str">
        <x:v>4192.98</x:v>
      </x:c>
      <x:c r="T716" t="str">
        <x:v>chk AIT-501 - condensate in sample frm ops</x:v>
      </x:c>
      <x:c r="U716" t="str">
        <x:v>A shift called for AIT-501 overhead C2 analyzer, rb duty up seen during feed temperature ramp. Foud condensate in sample; knockout pot full. Could not get permit first time waiting area gas test. swapped to standby and repaired. ops says ok for now. notif made by ops, maint attended same shift.</x:v>
      </x:c>
    </x:row>
    <x:row r="717" ht="15" hidden="0" customHeight="1">
      <x:c r="A717" t="str">
        <x:v>10450716</x:v>
      </x:c>
      <x:c r="B717" t="str">
        <x:v>40870716</x:v>
      </x:c>
      <x:c r="C717" t="str">
        <x:v>2024-04-09</x:v>
      </x:c>
      <x:c r="D717" t="str">
        <x:v>2024-04-09</x:v>
      </x:c>
      <x:c r="E717" t="str">
        <x:v>2024-04-10</x:v>
      </x:c>
      <x:c r="F717" t="str">
        <x:v>U400-DEETHANIZER-500</x:v>
      </x:c>
      <x:c r="G717" t="str">
        <x:v>E-502</x:v>
      </x:c>
      <x:c r="H717" t="str">
        <x:v>deethanizer overhead condenser</x:v>
      </x:c>
      <x:c r="I717" t="str">
        <x:v>condenser</x:v>
      </x:c>
      <x:c r="J717" t="str">
        <x:v>P3</x:v>
      </x:c>
      <x:c r="K717" t="str">
        <x:v>CLSD</x:v>
      </x:c>
      <x:c r="L717" t="str">
        <x:v>ROT</x:v>
      </x:c>
      <x:c r="M717" t="str">
        <x:v>normal_wear</x:v>
      </x:c>
      <x:c r="N717" t="str">
        <x:v>high press</x:v>
      </x:c>
      <x:c r="O717" t="str">
        <x:v>PERF</x:v>
      </x:c>
      <x:c r="P717" t="str">
        <x:v>FOUL</x:v>
      </x:c>
      <x:c r="Q717" t="str">
        <x:v>N</x:v>
      </x:c>
      <x:c r="R717" t="str">
        <x:v>17.9</x:v>
      </x:c>
      <x:c r="S717" t="str">
        <x:v>2870.39</x:v>
      </x:c>
      <x:c r="T717" t="str">
        <x:v>chk E-502 - high press frm ops</x:v>
      </x:c>
      <x:c r="U717" t="str">
        <x:v>B shift called for E-502 deethanizer overhead condenser, bad reading seen during normal wear. Foud high press; condensing duty poor. Tag plate dirty, confirmd by line up with panel. calibrated, loop checked with CCR. ops says ok for now. notif made by ops, maint attended same shift.</x:v>
      </x:c>
    </x:row>
    <x:row r="718" ht="15" hidden="0" customHeight="1">
      <x:c r="A718" t="str">
        <x:v>10450717</x:v>
      </x:c>
      <x:c r="B718" t="str">
        <x:v>40870717</x:v>
      </x:c>
      <x:c r="C718" t="str">
        <x:v>2024-04-15</x:v>
      </x:c>
      <x:c r="D718" t="str">
        <x:v>2024-04-15</x:v>
      </x:c>
      <x:c r="E718" t="str">
        <x:v>2024-04-15</x:v>
      </x:c>
      <x:c r="F718" t="str">
        <x:v>U400-DEETHANIZER-500</x:v>
      </x:c>
      <x:c r="G718" t="str">
        <x:v>E-503</x:v>
      </x:c>
      <x:c r="H718" t="str">
        <x:v>feed bottoms exchanger</x:v>
      </x:c>
      <x:c r="I718" t="str">
        <x:v>exchanger</x:v>
      </x:c>
      <x:c r="J718" t="str">
        <x:v>P4</x:v>
      </x:c>
      <x:c r="K718" t="str">
        <x:v>TECO</x:v>
      </x:c>
      <x:c r="L718" t="str">
        <x:v>ANLYZR</x:v>
      </x:c>
      <x:c r="M718" t="str">
        <x:v>feed_flow_step</x:v>
      </x:c>
      <x:c r="N718" t="str">
        <x:v>tube fouling</x:v>
      </x:c>
      <x:c r="O718" t="str">
        <x:v>FOULING</x:v>
      </x:c>
      <x:c r="P718" t="str">
        <x:v>PROCESS</x:v>
      </x:c>
      <x:c r="Q718" t="str">
        <x:v>N</x:v>
      </x:c>
      <x:c r="R718" t="str">
        <x:v>11.8</x:v>
      </x:c>
      <x:c r="S718" t="str">
        <x:v>12125.01</x:v>
      </x:c>
      <x:c r="T718" t="str">
        <x:v>E-503 column dp high, tube fouling</x:v>
      </x:c>
      <x:c r="U718" t="str">
        <x:v>C shift called for E-503 feed bottoms exchanger, lvl swing seen during feed flow step. Foud tube fouling; duty low, delta t poor. No spare in store at first, used refurb one from shop. tightened fittings, leak test ok. ops says ok for now. notif made by ops, maint attended same shift.</x:v>
      </x:c>
    </x:row>
    <x:row r="719" ht="15" hidden="0" customHeight="1">
      <x:c r="A719" t="str">
        <x:v>10450718</x:v>
      </x:c>
      <x:c r="B719" t="str">
        <x:v>40870718</x:v>
      </x:c>
      <x:c r="C719" t="str">
        <x:v>2024-04-13</x:v>
      </x:c>
      <x:c r="D719" t="str">
        <x:v>2024-04-13</x:v>
      </x:c>
      <x:c r="E719" t="str">
        <x:v>2024-04-13</x:v>
      </x:c>
      <x:c r="F719" t="str">
        <x:v>U400-DEETHANIZER-500</x:v>
      </x:c>
      <x:c r="G719" t="str">
        <x:v>PV-501</x:v>
      </x:c>
      <x:c r="H719" t="str">
        <x:v>column pressure control valve</x:v>
      </x:c>
      <x:c r="I719" t="str">
        <x:v>control_valve</x:v>
      </x:c>
      <x:c r="J719" t="str">
        <x:v>P3</x:v>
      </x:c>
      <x:c r="K719" t="str">
        <x:v>TECO</x:v>
      </x:c>
      <x:c r="L719" t="str">
        <x:v>OPS+INST</x:v>
      </x:c>
      <x:c r="M719" t="str">
        <x:v>normal_wear</x:v>
      </x:c>
      <x:c r="N719" t="str">
        <x:v>stiction</x:v>
      </x:c>
      <x:c r="O719" t="str">
        <x:v>STICK</x:v>
      </x:c>
      <x:c r="P719" t="str">
        <x:v>PACKING</x:v>
      </x:c>
      <x:c r="Q719" t="str">
        <x:v>N</x:v>
      </x:c>
      <x:c r="R719" t="str">
        <x:v>16.4</x:v>
      </x:c>
      <x:c r="S719" t="str">
        <x:v>689.58</x:v>
      </x:c>
      <x:c r="T719" t="str">
        <x:v>PV-501 stiction bad</x:v>
      </x:c>
      <x:c r="U719" t="str">
        <x:v>C shift called for PV-501 column pressure control vavle, loose term seen during normal wear. Foud stiction; stem sticky and pos err. changed gasket and boxed up. still little hunting but acceptable. notif made by ops, maint attended same shift.</x:v>
      </x:c>
    </x:row>
    <x:row r="720" ht="15" hidden="0" customHeight="1">
      <x:c r="A720" t="str">
        <x:v>10450719</x:v>
      </x:c>
      <x:c r="B720" t="str">
        <x:v>40870719</x:v>
      </x:c>
      <x:c r="C720" t="str">
        <x:v>2024-04-16</x:v>
      </x:c>
      <x:c r="D720" t="str">
        <x:v>2024-04-16</x:v>
      </x:c>
      <x:c r="E720" t="str">
        <x:v>2024-04-17</x:v>
      </x:c>
      <x:c r="F720" t="str">
        <x:v>U400-DEETHANIZER-500</x:v>
      </x:c>
      <x:c r="G720" t="str">
        <x:v>FV-501</x:v>
      </x:c>
      <x:c r="H720" t="str">
        <x:v>feed flow control valve</x:v>
      </x:c>
      <x:c r="I720" t="str">
        <x:v>control_valve</x:v>
      </x:c>
      <x:c r="J720" t="str">
        <x:v>P2</x:v>
      </x:c>
      <x:c r="K720" t="str">
        <x:v>TECO</x:v>
      </x:c>
      <x:c r="L720" t="str">
        <x:v>INST</x:v>
      </x:c>
      <x:c r="M720" t="str">
        <x:v>feed_temperature_ramp</x:v>
      </x:c>
      <x:c r="N720" t="str">
        <x:v>air leak</x:v>
      </x:c>
      <x:c r="O720" t="str">
        <x:v>AIR_LEAK</x:v>
      </x:c>
      <x:c r="P720" t="str">
        <x:v>TUBING</x:v>
      </x:c>
      <x:c r="Q720" t="str">
        <x:v>Y</x:v>
      </x:c>
      <x:c r="R720" t="str">
        <x:v>16.5</x:v>
      </x:c>
      <x:c r="S720" t="str">
        <x:v>2058.34</x:v>
      </x:c>
      <x:c r="T720" t="str">
        <x:v>FV-501 not ok after feed temp ramp</x:v>
      </x:c>
      <x:c r="U720" t="str">
        <x:v>A shift called for FV-501 feed flow control valve, feed temp high seen during feed temp ramp. Foud air leak; positioner supply drop. swapped to standby and repaired. ops says ok for now. notif made by ops, maint attended same shift.</x:v>
      </x:c>
    </x:row>
    <x:row r="721" ht="15" hidden="0" customHeight="1">
      <x:c r="A721" t="str">
        <x:v>10450720</x:v>
      </x:c>
      <x:c r="B721" t="str">
        <x:v>40870720</x:v>
      </x:c>
      <x:c r="C721" t="str">
        <x:v>2024-04-19</x:v>
      </x:c>
      <x:c r="D721" t="str">
        <x:v>2024-04-19</x:v>
      </x:c>
      <x:c r="E721" t="str">
        <x:v>2024-04-19</x:v>
      </x:c>
      <x:c r="F721" t="str">
        <x:v>U400-DEETHANIZER-500</x:v>
      </x:c>
      <x:c r="G721" t="str">
        <x:v>TT-501B</x:v>
      </x:c>
      <x:c r="H721" t="str">
        <x:v>sensitive tray temperature tx</x:v>
      </x:c>
      <x:c r="I721" t="str">
        <x:v>instrument</x:v>
      </x:c>
      <x:c r="J721" t="str">
        <x:v>P4</x:v>
      </x:c>
      <x:c r="K721" t="str">
        <x:v>TECO</x:v>
      </x:c>
      <x:c r="L721" t="str">
        <x:v>E&amp;I</x:v>
      </x:c>
      <x:c r="M721" t="str">
        <x:v>feed_flow_step</x:v>
      </x:c>
      <x:c r="N721" t="str">
        <x:v>bad reading</x:v>
      </x:c>
      <x:c r="O721" t="str">
        <x:v>DRIFT</x:v>
      </x:c>
      <x:c r="P721" t="str">
        <x:v>CAL</x:v>
      </x:c>
      <x:c r="Q721" t="str">
        <x:v>N</x:v>
      </x:c>
      <x:c r="R721" t="str">
        <x:v>11.7</x:v>
      </x:c>
      <x:c r="S721" t="str">
        <x:v>5227.31</x:v>
      </x:c>
      <x:c r="T721" t="str">
        <x:v>TT-501B column dp high, bad reading</x:v>
      </x:c>
      <x:c r="U721" t="str">
        <x:v>days called for TT-501B sensitive tray temperature tx, column dp high seen during feed flow step. Foud bad reading; needs calib. reset trip and monitored for 2 hrs. need watch next feed swing. notif made by ops, maint attended same shift.</x:v>
      </x:c>
    </x:row>
    <x:row r="722" ht="15" hidden="0" customHeight="1">
      <x:c r="A722" t="str">
        <x:v>10450721</x:v>
      </x:c>
      <x:c r="B722" t="str">
        <x:v>40870721</x:v>
      </x:c>
      <x:c r="C722" t="str">
        <x:v>2024-04-17</x:v>
      </x:c>
      <x:c r="D722" t="str">
        <x:v>2024-04-17</x:v>
      </x:c>
      <x:c r="E722" t="str">
        <x:v>2024-04-20</x:v>
      </x:c>
      <x:c r="F722" t="str">
        <x:v>U400-DEETHANIZER-500</x:v>
      </x:c>
      <x:c r="G722" t="str">
        <x:v>E-502</x:v>
      </x:c>
      <x:c r="H722" t="str">
        <x:v>deethanizer overhead condenser</x:v>
      </x:c>
      <x:c r="I722" t="str">
        <x:v>condenser</x:v>
      </x:c>
      <x:c r="J722" t="str">
        <x:v>P4</x:v>
      </x:c>
      <x:c r="K722" t="str">
        <x:v>TECO</x:v>
      </x:c>
      <x:c r="L722" t="str">
        <x:v>ANLYZR</x:v>
      </x:c>
      <x:c r="M722" t="str">
        <x:v>feed_composition_shift</x:v>
      </x:c>
      <x:c r="N722" t="str">
        <x:v>tube leak sus</x:v>
      </x:c>
      <x:c r="O722" t="str">
        <x:v>LEAK</x:v>
      </x:c>
      <x:c r="P722" t="str">
        <x:v>TUBE</x:v>
      </x:c>
      <x:c r="Q722" t="str">
        <x:v>N</x:v>
      </x:c>
      <x:c r="R722" t="str">
        <x:v>13.3</x:v>
      </x:c>
      <x:c r="S722" t="str">
        <x:v>8231.8</x:v>
      </x:c>
      <x:c r="T722" t="str">
        <x:v>E-502 tube leak sus after upset</x:v>
      </x:c>
      <x:c r="U722" t="str">
        <x:v>night called for E-502 deethanizer overhead condenser, quality bad seen during feed composition shift. Foud tube leak sus; hydrotest reqd. No spare in store at first, used refurb one from shop. opened strainer, cleaned black sludge. ops says ok for now. notif made by ops, maint attended same shift.</x:v>
      </x:c>
    </x:row>
    <x:row r="723" ht="15" hidden="0" customHeight="1">
      <x:c r="A723" t="str">
        <x:v>10450722</x:v>
      </x:c>
      <x:c r="B723" t="str">
        <x:v>40870722</x:v>
      </x:c>
      <x:c r="C723" t="str">
        <x:v>2024-04-21</x:v>
      </x:c>
      <x:c r="D723" t="str">
        <x:v>2024-04-22</x:v>
      </x:c>
      <x:c r="E723" t="str">
        <x:v>2024-04-24</x:v>
      </x:c>
      <x:c r="F723" t="str">
        <x:v>U400-DEETHANIZER-500</x:v>
      </x:c>
      <x:c r="G723" t="str">
        <x:v>T-501</x:v>
      </x:c>
      <x:c r="H723" t="str">
        <x:v>deethanizer column</x:v>
      </x:c>
      <x:c r="I723" t="str">
        <x:v>column</x:v>
      </x:c>
      <x:c r="J723" t="str">
        <x:v>P3</x:v>
      </x:c>
      <x:c r="K723" t="str">
        <x:v>TECO</x:v>
      </x:c>
      <x:c r="L723" t="str">
        <x:v>INST</x:v>
      </x:c>
      <x:c r="M723" t="str">
        <x:v>feed_composition_shift</x:v>
      </x:c>
      <x:c r="N723" t="str">
        <x:v>tray temp bad</x:v>
      </x:c>
      <x:c r="O723" t="str">
        <x:v>TEMP_DEV</x:v>
      </x:c>
      <x:c r="P723" t="str">
        <x:v>PROCESS</x:v>
      </x:c>
      <x:c r="Q723" t="str">
        <x:v>N</x:v>
      </x:c>
      <x:c r="R723" t="str">
        <x:v>7.4</x:v>
      </x:c>
      <x:c r="S723" t="str">
        <x:v>6304.96</x:v>
      </x:c>
      <x:c r="T723" t="str">
        <x:v>T-501 anlyzr off, tray temp bad</x:v>
      </x:c>
      <x:c r="U723" t="str">
        <x:v>A shift called for T-501 deethanizer column, ovhd c3 slip seen during feed composition shift. Foud tray temp bad; profile not normal. History shows same complain last mnth. replaced positioner tubing and retuned small. no leak at handover. notif made by ops, maint attended same shift.</x:v>
      </x:c>
    </x:row>
    <x:row r="724" ht="15" hidden="0" customHeight="1">
      <x:c r="A724" t="str">
        <x:v>10450723</x:v>
      </x:c>
      <x:c r="B724" t="str">
        <x:v>40870723</x:v>
      </x:c>
      <x:c r="C724" t="str">
        <x:v>2024-04-23</x:v>
      </x:c>
      <x:c r="D724" t="str">
        <x:v>2024-04-25</x:v>
      </x:c>
      <x:c r="E724" t="str">
        <x:v>2024-04-26</x:v>
      </x:c>
      <x:c r="F724" t="str">
        <x:v>U400-DEETHANIZER-500</x:v>
      </x:c>
      <x:c r="G724" t="str">
        <x:v>FV-502</x:v>
      </x:c>
      <x:c r="H724" t="str">
        <x:v>reflux flow control valve</x:v>
      </x:c>
      <x:c r="I724" t="str">
        <x:v>control_valve</x:v>
      </x:c>
      <x:c r="J724" t="str">
        <x:v>P3</x:v>
      </x:c>
      <x:c r="K724" t="str">
        <x:v>TECO</x:v>
      </x:c>
      <x:c r="L724" t="str">
        <x:v>ANLYZR</x:v>
      </x:c>
      <x:c r="M724" t="str">
        <x:v>reflux_pump_degradation</x:v>
      </x:c>
      <x:c r="N724" t="str">
        <x:v>not stroking</x:v>
      </x:c>
      <x:c r="O724" t="str">
        <x:v>NO_TRAVEL</x:v>
      </x:c>
      <x:c r="P724" t="str">
        <x:v>ACT</x:v>
      </x:c>
      <x:c r="Q724" t="str">
        <x:v>N</x:v>
      </x:c>
      <x:c r="R724" t="str">
        <x:v>13.3</x:v>
      </x:c>
      <x:c r="S724" t="str">
        <x:v>373.84</x:v>
      </x:c>
      <x:c r="T724" t="str">
        <x:v>FV-502 min flow hot, not stroking</x:v>
      </x:c>
      <x:c r="U724" t="str">
        <x:v>C shift called for FV-502 reflux flow control valve, low reflux seen during reflux pump degradation. Foud not stroking; actuator weak. History shows same complain last mnth. reset trip and monitored for 2 hrs. need watch next feed swing. notif made by ops, maint attended same shift.</x:v>
      </x:c>
    </x:row>
    <x:row r="725" ht="15" hidden="0" customHeight="1">
      <x:c r="A725" t="str">
        <x:v>10450724</x:v>
      </x:c>
      <x:c r="B725" t="str">
        <x:v>40870724</x:v>
      </x:c>
      <x:c r="C725" t="str">
        <x:v>2024-04-22</x:v>
      </x:c>
      <x:c r="D725" t="str">
        <x:v>2024-04-22</x:v>
      </x:c>
      <x:c r="E725" t="str">
        <x:v>2024-04-22</x:v>
      </x:c>
      <x:c r="F725" t="str">
        <x:v>U400-DEETHANIZER-500</x:v>
      </x:c>
      <x:c r="G725" t="str">
        <x:v>PV-501</x:v>
      </x:c>
      <x:c r="H725" t="str">
        <x:v>column pressure control valve</x:v>
      </x:c>
      <x:c r="I725" t="str">
        <x:v>control_valve</x:v>
      </x:c>
      <x:c r="J725" t="str">
        <x:v>P1</x:v>
      </x:c>
      <x:c r="K725" t="str">
        <x:v>COMP</x:v>
      </x:c>
      <x:c r="L725" t="str">
        <x:v>E&amp;I</x:v>
      </x:c>
      <x:c r="M725" t="str">
        <x:v>reboiler_duty_loss</x:v>
      </x:c>
      <x:c r="N725" t="str">
        <x:v>hunting loop</x:v>
      </x:c>
      <x:c r="O725" t="str">
        <x:v>CTRL_OSC</x:v>
      </x:c>
      <x:c r="P725" t="str">
        <x:v>TUNE</x:v>
      </x:c>
      <x:c r="Q725" t="str">
        <x:v>N</x:v>
      </x:c>
      <x:c r="R725" t="str">
        <x:v>15.3</x:v>
      </x:c>
      <x:c r="S725" t="str">
        <x:v>681.85</x:v>
      </x:c>
      <x:c r="T725" t="str">
        <x:v>PV-501 hunting loop bad</x:v>
      </x:c>
      <x:c r="U725" t="str">
        <x:v>night called for PV-501 column pressure control vavle, tray temp low seen during reboiler duty loss. Foud hunting loop; bad response after upset. changed gasket and boxed up. readng close to dcs after job. notif made by ops, maint attended same shift.</x:v>
      </x:c>
    </x:row>
    <x:row r="726" ht="15" hidden="0" customHeight="1">
      <x:c r="A726" t="str">
        <x:v>10450725</x:v>
      </x:c>
      <x:c r="B726" t="str">
        <x:v>40870725</x:v>
      </x:c>
      <x:c r="C726" t="str">
        <x:v>2024-04-26</x:v>
      </x:c>
      <x:c r="D726" t="str">
        <x:v>2024-04-27</x:v>
      </x:c>
      <x:c r="E726" t="str">
        <x:v>2024-04-29</x:v>
      </x:c>
      <x:c r="F726" t="str">
        <x:v>U400-DEETHANIZER-500</x:v>
      </x:c>
      <x:c r="G726" t="str">
        <x:v>AIT-502</x:v>
      </x:c>
      <x:c r="H726" t="str">
        <x:v>bottoms C3+ analyzer</x:v>
      </x:c>
      <x:c r="I726" t="str">
        <x:v>analyzer</x:v>
      </x:c>
      <x:c r="J726" t="str">
        <x:v>P2</x:v>
      </x:c>
      <x:c r="K726" t="str">
        <x:v>COMP</x:v>
      </x:c>
      <x:c r="L726" t="str">
        <x:v>OPS+INST</x:v>
      </x:c>
      <x:c r="M726" t="str">
        <x:v>feed_temperature_ramp</x:v>
      </x:c>
      <x:c r="N726" t="str">
        <x:v>anlyzr drift</x:v>
      </x:c>
      <x:c r="O726" t="str">
        <x:v>DRIFT</x:v>
      </x:c>
      <x:c r="P726" t="str">
        <x:v>CAL_GAS</x:v>
      </x:c>
      <x:c r="Q726" t="str">
        <x:v>N</x:v>
      </x:c>
      <x:c r="R726" t="str">
        <x:v>16.9</x:v>
      </x:c>
      <x:c r="S726" t="str">
        <x:v>309.64</x:v>
      </x:c>
      <x:c r="T726" t="str">
        <x:v>chk AIT-502 - anlyzr drift frm ops</x:v>
      </x:c>
      <x:c r="U726" t="str">
        <x:v>B shift called for AIT-502 bottoms C3+ analyzer, rb duty up seen during feed temp ramp. Foud anlyzr drift; cal gas failed. stroke tested, response better. readng close to dcs after job. notif made by ops, maint attended same shift.</x:v>
      </x:c>
    </x:row>
    <x:row r="727" ht="15" hidden="0" customHeight="1">
      <x:c r="A727" t="str">
        <x:v>10450726</x:v>
      </x:c>
      <x:c r="B727" t="str">
        <x:v>40870726</x:v>
      </x:c>
      <x:c r="C727" t="str">
        <x:v>2024-04-25</x:v>
      </x:c>
      <x:c r="D727" t="str">
        <x:v>2024-04-25</x:v>
      </x:c>
      <x:c r="E727" t="str">
        <x:v>2024-04-26</x:v>
      </x:c>
      <x:c r="F727" t="str">
        <x:v>U400-DEETHANIZER-500</x:v>
      </x:c>
      <x:c r="G727" t="str">
        <x:v>P-501B</x:v>
      </x:c>
      <x:c r="H727" t="str">
        <x:v>reflux pump B</x:v>
      </x:c>
      <x:c r="I727" t="str">
        <x:v>pump</x:v>
      </x:c>
      <x:c r="J727" t="str">
        <x:v>P2</x:v>
      </x:c>
      <x:c r="K727" t="str">
        <x:v>TECO</x:v>
      </x:c>
      <x:c r="L727" t="str">
        <x:v>ROT</x:v>
      </x:c>
      <x:c r="M727" t="str">
        <x:v>reflux_pump_degradation</x:v>
      </x:c>
      <x:c r="N727" t="str">
        <x:v>low disch press</x:v>
      </x:c>
      <x:c r="O727" t="str">
        <x:v>HYD_LOSS</x:v>
      </x:c>
      <x:c r="P727" t="str">
        <x:v>FOUL</x:v>
      </x:c>
      <x:c r="Q727" t="str">
        <x:v>N</x:v>
      </x:c>
      <x:c r="R727" t="str">
        <x:v>13.4</x:v>
      </x:c>
      <x:c r="S727" t="str">
        <x:v>10086.78</x:v>
      </x:c>
      <x:c r="T727" t="str">
        <x:v>P-501B low disch press temp fix</x:v>
      </x:c>
      <x:c r="U727" t="str">
        <x:v>B shift called for P-501B reflux pump B, disch press low seen during reflux pump degradation. Foud low disch press; strainer dirty or impeller wear. tightened fittings, leak test ok. no leak at handover. notif made by ops, maint attended same shift.</x:v>
      </x:c>
    </x:row>
    <x:row r="728" ht="15" hidden="0" customHeight="1">
      <x:c r="A728" t="str">
        <x:v>10450727</x:v>
      </x:c>
      <x:c r="B728" t="str">
        <x:v>40870727</x:v>
      </x:c>
      <x:c r="C728" t="str">
        <x:v>2024-04-25</x:v>
      </x:c>
      <x:c r="D728" t="str">
        <x:v>2024-04-25</x:v>
      </x:c>
      <x:c r="E728" t="str">
        <x:v>2024-04-25</x:v>
      </x:c>
      <x:c r="F728" t="str">
        <x:v>U400-DEETHANIZER-500</x:v>
      </x:c>
      <x:c r="G728" t="str">
        <x:v>E-502</x:v>
      </x:c>
      <x:c r="H728" t="str">
        <x:v>deethanizer overhead condenser</x:v>
      </x:c>
      <x:c r="I728" t="str">
        <x:v>condenser</x:v>
      </x:c>
      <x:c r="J728" t="str">
        <x:v>P4</x:v>
      </x:c>
      <x:c r="K728" t="str">
        <x:v>TECO</x:v>
      </x:c>
      <x:c r="L728" t="str">
        <x:v>VALVE</x:v>
      </x:c>
      <x:c r="M728" t="str">
        <x:v>pressure_control_fault</x:v>
      </x:c>
      <x:c r="N728" t="str">
        <x:v>tube leak sus</x:v>
      </x:c>
      <x:c r="O728" t="str">
        <x:v>LEAK</x:v>
      </x:c>
      <x:c r="P728" t="str">
        <x:v>TUBE</x:v>
      </x:c>
      <x:c r="Q728" t="str">
        <x:v>N</x:v>
      </x:c>
      <x:c r="R728" t="str">
        <x:v>12.4</x:v>
      </x:c>
      <x:c r="S728" t="str">
        <x:v>15528.81</x:v>
      </x:c>
      <x:c r="T728" t="str">
        <x:v>E-502 tube leak sus again, prod upset</x:v>
      </x:c>
      <x:c r="U728" t="str">
        <x:v>days called for E-502 deethanizer overhead condenser, flare vavle checked seen during pressure control fault. Foud tube leak sus; hydrotest reqd. opened strainer, cleaned black sludge. unit stable now. notif made by ops, maint attended same shift.</x:v>
      </x:c>
    </x:row>
    <x:row r="729" ht="15" hidden="0" customHeight="1">
      <x:c r="A729" t="str">
        <x:v>10450728</x:v>
      </x:c>
      <x:c r="B729" t="str">
        <x:v>40870728</x:v>
      </x:c>
      <x:c r="C729" t="str">
        <x:v>2024-04-28</x:v>
      </x:c>
      <x:c r="D729" t="str">
        <x:v>2024-04-30</x:v>
      </x:c>
      <x:c r="E729" t="str">
        <x:v>2024-05-01</x:v>
      </x:c>
      <x:c r="F729" t="str">
        <x:v>U400-DEETHANIZER-500</x:v>
      </x:c>
      <x:c r="G729" t="str">
        <x:v>TV-501</x:v>
      </x:c>
      <x:c r="H729" t="str">
        <x:v>reboiler hot medium valve</x:v>
      </x:c>
      <x:c r="I729" t="str">
        <x:v>control_valve</x:v>
      </x:c>
      <x:c r="J729" t="str">
        <x:v>P2</x:v>
      </x:c>
      <x:c r="K729" t="str">
        <x:v>COMP</x:v>
      </x:c>
      <x:c r="L729" t="str">
        <x:v>ROT</x:v>
      </x:c>
      <x:c r="M729" t="str">
        <x:v>valve_stiction</x:v>
      </x:c>
      <x:c r="N729" t="str">
        <x:v>not stroking</x:v>
      </x:c>
      <x:c r="O729" t="str">
        <x:v>NO_TRAVEL</x:v>
      </x:c>
      <x:c r="P729" t="str">
        <x:v>ACT</x:v>
      </x:c>
      <x:c r="Q729" t="str">
        <x:v>N</x:v>
      </x:c>
      <x:c r="R729" t="str">
        <x:v>15.9</x:v>
      </x:c>
      <x:c r="S729" t="str">
        <x:v>5251.03</x:v>
      </x:c>
      <x:c r="T729" t="str">
        <x:v>TV-501 position bad, not stroking</x:v>
      </x:c>
      <x:c r="U729" t="str">
        <x:v>night called for TV-501 reboiler hot medium valve, position bad seen during valve stiction. Foud not stroking; actuator weak. tightened fittings, leak test ok. still little hunting but acceptable. notif made by ops, maint attended same shift.</x:v>
      </x:c>
    </x:row>
    <x:row r="730" ht="15" hidden="0" customHeight="1">
      <x:c r="A730" t="str">
        <x:v>10450729</x:v>
      </x:c>
      <x:c r="B730" t="str">
        <x:v>40870729</x:v>
      </x:c>
      <x:c r="C730" t="str">
        <x:v>2024-05-02</x:v>
      </x:c>
      <x:c r="D730" t="str">
        <x:v>2024-05-02</x:v>
      </x:c>
      <x:c r="E730" t="str">
        <x:v>2024-05-07</x:v>
      </x:c>
      <x:c r="F730" t="str">
        <x:v>U400-DEETHANIZER-500</x:v>
      </x:c>
      <x:c r="G730" t="str">
        <x:v>PT-501</x:v>
      </x:c>
      <x:c r="H730" t="str">
        <x:v>column overhead pressure tx</x:v>
      </x:c>
      <x:c r="I730" t="str">
        <x:v>instrument</x:v>
      </x:c>
      <x:c r="J730" t="str">
        <x:v>P2</x:v>
      </x:c>
      <x:c r="K730" t="str">
        <x:v>COMP</x:v>
      </x:c>
      <x:c r="L730" t="str">
        <x:v>OPS+INST</x:v>
      </x:c>
      <x:c r="M730" t="str">
        <x:v>normal_wear</x:v>
      </x:c>
      <x:c r="N730" t="str">
        <x:v>no signal</x:v>
      </x:c>
      <x:c r="O730" t="str">
        <x:v>NO_SIGNAL</x:v>
      </x:c>
      <x:c r="P730" t="str">
        <x:v>ELEC</x:v>
      </x:c>
      <x:c r="Q730" t="str">
        <x:v>N</x:v>
      </x:c>
      <x:c r="R730" t="str">
        <x:v>6.8</x:v>
      </x:c>
      <x:c r="S730" t="str">
        <x:v>5000.31</x:v>
      </x:c>
      <x:c r="T730" t="str">
        <x:v>PT-501 loose term, no signal</x:v>
      </x:c>
      <x:c r="U730" t="str">
        <x:v>A shift called for PT-501 column overhead press tx, noise seen during normal wear. Foud no signal; 24v or card issue. opened strainer, cleaned black sludge. still little hunting but acceptable. notif made by ops, maint attended same shift.</x:v>
      </x:c>
    </x:row>
    <x:row r="731" ht="15" hidden="0" customHeight="1">
      <x:c r="A731" t="str">
        <x:v>10450730</x:v>
      </x:c>
      <x:c r="B731" t="str">
        <x:v>40870730</x:v>
      </x:c>
      <x:c r="C731" t="str">
        <x:v>2024-05-05</x:v>
      </x:c>
      <x:c r="D731" t="str">
        <x:v>2024-05-07</x:v>
      </x:c>
      <x:c r="E731" t="str">
        <x:v>2024-05-08</x:v>
      </x:c>
      <x:c r="F731" t="str">
        <x:v>U400-DEETHANIZER-500</x:v>
      </x:c>
      <x:c r="G731" t="str">
        <x:v>TT-501B</x:v>
      </x:c>
      <x:c r="H731" t="str">
        <x:v>sensitive tray temperature tx</x:v>
      </x:c>
      <x:c r="I731" t="str">
        <x:v>instrument</x:v>
      </x:c>
      <x:c r="J731" t="str">
        <x:v>P2</x:v>
      </x:c>
      <x:c r="K731" t="str">
        <x:v>COMP</x:v>
      </x:c>
      <x:c r="L731" t="str">
        <x:v>ANLYZR</x:v>
      </x:c>
      <x:c r="M731" t="str">
        <x:v>pressure_control_fault</x:v>
      </x:c>
      <x:c r="N731" t="str">
        <x:v>bad reading</x:v>
      </x:c>
      <x:c r="O731" t="str">
        <x:v>DRIFT</x:v>
      </x:c>
      <x:c r="P731" t="str">
        <x:v>CAL</x:v>
      </x:c>
      <x:c r="Q731" t="str">
        <x:v>N</x:v>
      </x:c>
      <x:c r="R731" t="str">
        <x:v>6.9</x:v>
      </x:c>
      <x:c r="S731" t="str">
        <x:v>2876.93</x:v>
      </x:c>
      <x:c r="T731" t="str">
        <x:v>chk TT-501B - bad reading frm ops</x:v>
      </x:c>
      <x:c r="U731" t="str">
        <x:v>C shift called for TT-501B sensitive tray temperature tx, pv not movng seen during pressure control fault. Foud bad reading; needs calib. reset trip and monitored for 2 hrs. still little hunting but acceptable. notif made by ops, maint attended same shift.</x:v>
      </x:c>
    </x:row>
    <x:row r="732" ht="15" hidden="0" customHeight="1">
      <x:c r="A732" t="str">
        <x:v>10450731</x:v>
      </x:c>
      <x:c r="B732" t="str">
        <x:v>40870731</x:v>
      </x:c>
      <x:c r="C732" t="str">
        <x:v>2024-05-03</x:v>
      </x:c>
      <x:c r="D732" t="str">
        <x:v>2024-05-03</x:v>
      </x:c>
      <x:c r="E732" t="str">
        <x:v>2024-05-06</x:v>
      </x:c>
      <x:c r="F732" t="str">
        <x:v>U400-DEETHANIZER-500</x:v>
      </x:c>
      <x:c r="G732" t="str">
        <x:v>E-501</x:v>
      </x:c>
      <x:c r="H732" t="str">
        <x:v>deethanizer reboiler</x:v>
      </x:c>
      <x:c r="I732" t="str">
        <x:v>reboiler</x:v>
      </x:c>
      <x:c r="J732" t="str">
        <x:v>P1</x:v>
      </x:c>
      <x:c r="K732" t="str">
        <x:v>COMP</x:v>
      </x:c>
      <x:c r="L732" t="str">
        <x:v>ROT</x:v>
      </x:c>
      <x:c r="M732" t="str">
        <x:v>feed_temperature_ramp</x:v>
      </x:c>
      <x:c r="N732" t="str">
        <x:v>circ poor</x:v>
      </x:c>
      <x:c r="O732" t="str">
        <x:v>NO_FLOW</x:v>
      </x:c>
      <x:c r="P732" t="str">
        <x:v>PLUG</x:v>
      </x:c>
      <x:c r="Q732" t="str">
        <x:v>N</x:v>
      </x:c>
      <x:c r="R732" t="str">
        <x:v>7.0</x:v>
      </x:c>
      <x:c r="S732" t="str">
        <x:v>16985.94</x:v>
      </x:c>
      <x:c r="T732" t="str">
        <x:v>E-501 spec off, circ poor</x:v>
      </x:c>
      <x:c r="U732" t="str">
        <x:v>days called for E-501 deethanizer reboiler, rb duty up seen during feed temp ramp. Foud circ poor; blocked inlet screen. cleaned and put back online. readng close to dcs after job. notif made by ops, maint attended same shift.</x:v>
      </x:c>
    </x:row>
    <x:row r="733" ht="15" hidden="0" customHeight="1">
      <x:c r="A733" t="str">
        <x:v>10450732</x:v>
      </x:c>
      <x:c r="B733" t="str">
        <x:v>40870732</x:v>
      </x:c>
      <x:c r="C733" t="str">
        <x:v>2024-05-06</x:v>
      </x:c>
      <x:c r="D733" t="str">
        <x:v>2024-05-06</x:v>
      </x:c>
      <x:c r="E733" t="str">
        <x:v>2024-05-07</x:v>
      </x:c>
      <x:c r="F733" t="str">
        <x:v>U400-DEETHANIZER-500</x:v>
      </x:c>
      <x:c r="G733" t="str">
        <x:v>TT-501B</x:v>
      </x:c>
      <x:c r="H733" t="str">
        <x:v>sensitive tray temperature tx</x:v>
      </x:c>
      <x:c r="I733" t="str">
        <x:v>instrument</x:v>
      </x:c>
      <x:c r="J733" t="str">
        <x:v>P3</x:v>
      </x:c>
      <x:c r="K733" t="str">
        <x:v>TECO</x:v>
      </x:c>
      <x:c r="L733" t="str">
        <x:v>OPS+INST</x:v>
      </x:c>
      <x:c r="M733" t="str">
        <x:v>feed_temperature_ramp</x:v>
      </x:c>
      <x:c r="N733" t="str">
        <x:v>range err</x:v>
      </x:c>
      <x:c r="O733" t="str">
        <x:v>SPAN</x:v>
      </x:c>
      <x:c r="P733" t="str">
        <x:v>CAL</x:v>
      </x:c>
      <x:c r="Q733" t="str">
        <x:v>N</x:v>
      </x:c>
      <x:c r="R733" t="str">
        <x:v>12.1</x:v>
      </x:c>
      <x:c r="S733" t="str">
        <x:v>5091.47</x:v>
      </x:c>
      <x:c r="T733" t="str">
        <x:v>TT-501B range err bad</x:v>
      </x:c>
      <x:c r="U733" t="str">
        <x:v>days called for TT-501B sensitive tray temperature tx, ovhd press moving seen during feed temperature ramp. Foud range err; span shifted. No spare in store at first, used refurb one from shop. stroke tested, response better. ops says ok for now. notif made by ops, maint attended same shift.</x:v>
      </x:c>
    </x:row>
    <x:row r="734" ht="15" hidden="0" customHeight="1">
      <x:c r="A734" t="str">
        <x:v>10450733</x:v>
      </x:c>
      <x:c r="B734" t="str">
        <x:v>40870733</x:v>
      </x:c>
      <x:c r="C734" t="str">
        <x:v>2024-05-09</x:v>
      </x:c>
      <x:c r="D734" t="str">
        <x:v>2024-05-10</x:v>
      </x:c>
      <x:c r="E734" t="str">
        <x:v>2024-05-15</x:v>
      </x:c>
      <x:c r="F734" t="str">
        <x:v>U400-DEETHANIZER-500</x:v>
      </x:c>
      <x:c r="G734" t="str">
        <x:v>AIT-502</x:v>
      </x:c>
      <x:c r="H734" t="str">
        <x:v>bottoms C3+ analyzer</x:v>
      </x:c>
      <x:c r="I734" t="str">
        <x:v>analyzer</x:v>
      </x:c>
      <x:c r="J734" t="str">
        <x:v>P2</x:v>
      </x:c>
      <x:c r="K734" t="str">
        <x:v>CLSD</x:v>
      </x:c>
      <x:c r="L734" t="str">
        <x:v>ANLYZR</x:v>
      </x:c>
      <x:c r="M734" t="str">
        <x:v>feed_composition_shift</x:v>
      </x:c>
      <x:c r="N734" t="str">
        <x:v>sample plugged</x:v>
      </x:c>
      <x:c r="O734" t="str">
        <x:v>PLUG</x:v>
      </x:c>
      <x:c r="P734" t="str">
        <x:v>SAMPLE</x:v>
      </x:c>
      <x:c r="Q734" t="str">
        <x:v>N</x:v>
      </x:c>
      <x:c r="R734" t="str">
        <x:v>17.7</x:v>
      </x:c>
      <x:c r="S734" t="str">
        <x:v>4163.55</x:v>
      </x:c>
      <x:c r="T734" t="str">
        <x:v>AIT-502 sample plugged temp fix</x:v>
      </x:c>
      <x:c r="U734" t="str">
        <x:v>days called for AIT-502 bottoms C3+ analyzer, ovhd c3 slip seen during feed composition shift. Foud sample plugged; fast loop low flow. Line was hot so job done slow and with ops standing by. tightened fittings, leak test ok. ops says ok for now. notif made by ops, maint attended same shift.</x:v>
      </x:c>
    </x:row>
    <x:row r="735" ht="15" hidden="0" customHeight="1">
      <x:c r="A735" t="str">
        <x:v>10450734</x:v>
      </x:c>
      <x:c r="B735" t="str">
        <x:v>40870734</x:v>
      </x:c>
      <x:c r="C735" t="str">
        <x:v>2024-05-08</x:v>
      </x:c>
      <x:c r="D735" t="str">
        <x:v>2024-05-08</x:v>
      </x:c>
      <x:c r="E735" t="str">
        <x:v>2024-05-13</x:v>
      </x:c>
      <x:c r="F735" t="str">
        <x:v>U400-DEETHANIZER-500</x:v>
      </x:c>
      <x:c r="G735" t="str">
        <x:v>LV-502</x:v>
      </x:c>
      <x:c r="H735" t="str">
        <x:v>bottoms level valve</x:v>
      </x:c>
      <x:c r="I735" t="str">
        <x:v>control_valve</x:v>
      </x:c>
      <x:c r="J735" t="str">
        <x:v>P3</x:v>
      </x:c>
      <x:c r="K735" t="str">
        <x:v>TECO</x:v>
      </x:c>
      <x:c r="L735" t="str">
        <x:v>ROT</x:v>
      </x:c>
      <x:c r="M735" t="str">
        <x:v>valve_stiction</x:v>
      </x:c>
      <x:c r="N735" t="str">
        <x:v>passing</x:v>
      </x:c>
      <x:c r="O735" t="str">
        <x:v>LEAK_BY</x:v>
      </x:c>
      <x:c r="P735" t="str">
        <x:v>SEAT</x:v>
      </x:c>
      <x:c r="Q735" t="str">
        <x:v>N</x:v>
      </x:c>
      <x:c r="R735" t="str">
        <x:v>16.4</x:v>
      </x:c>
      <x:c r="S735" t="str">
        <x:v>3758.96</x:v>
      </x:c>
      <x:c r="T735" t="str">
        <x:v>LV-502 passing noisy</x:v>
      </x:c>
      <x:c r="U735" t="str">
        <x:v>days called for LV-502 bottoms level valve, air leak seen during valve stiction. Foud passing; seat leak by. calibrated, loop chekd with CCR. readng close to dcs after job. notif made by ops, maint attended same shift.</x:v>
      </x:c>
    </x:row>
    <x:row r="736" ht="15" hidden="0" customHeight="1">
      <x:c r="A736" t="str">
        <x:v>10450735</x:v>
      </x:c>
      <x:c r="B736" t="str">
        <x:v>40870735</x:v>
      </x:c>
      <x:c r="C736" t="str">
        <x:v>2024-05-09</x:v>
      </x:c>
      <x:c r="D736" t="str">
        <x:v>2024-05-10</x:v>
      </x:c>
      <x:c r="E736" t="str">
        <x:v>2024-05-11</x:v>
      </x:c>
      <x:c r="F736" t="str">
        <x:v>U400-DEETHANIZER-500</x:v>
      </x:c>
      <x:c r="G736" t="str">
        <x:v>P-501A</x:v>
      </x:c>
      <x:c r="H736" t="str">
        <x:v>reflux pump A</x:v>
      </x:c>
      <x:c r="I736" t="str">
        <x:v>pump</x:v>
      </x:c>
      <x:c r="J736" t="str">
        <x:v>P2</x:v>
      </x:c>
      <x:c r="K736" t="str">
        <x:v>CLSD</x:v>
      </x:c>
      <x:c r="L736" t="str">
        <x:v>E&amp;I</x:v>
      </x:c>
      <x:c r="M736" t="str">
        <x:v>pressure_control_fault</x:v>
      </x:c>
      <x:c r="N736" t="str">
        <x:v>bearing hot</x:v>
      </x:c>
      <x:c r="O736" t="str">
        <x:v>BRG</x:v>
      </x:c>
      <x:c r="P736" t="str">
        <x:v>WEAR</x:v>
      </x:c>
      <x:c r="Q736" t="str">
        <x:v>N</x:v>
      </x:c>
      <x:c r="R736" t="str">
        <x:v>8.8</x:v>
      </x:c>
      <x:c r="S736" t="str">
        <x:v>16065.35</x:v>
      </x:c>
      <x:c r="T736" t="str">
        <x:v>P-501A bearing hot again, prod upset</x:v>
      </x:c>
      <x:c r="U736" t="str">
        <x:v>A shift called for P-501A reflux pump A, pshh close call seen during pressure control fault. Foud bearing hot; brg rough, lube dark. No spare in store at first, used refurb one from shop. replaced positioner tubing and retuned small. unit stable now. notif made by ops, maint attended same shift.</x:v>
      </x:c>
    </x:row>
    <x:row r="737" ht="15" hidden="0" customHeight="1">
      <x:c r="A737" t="str">
        <x:v>10450736</x:v>
      </x:c>
      <x:c r="B737" t="str">
        <x:v>40870736</x:v>
      </x:c>
      <x:c r="C737" t="str">
        <x:v>2024-05-12</x:v>
      </x:c>
      <x:c r="D737" t="str">
        <x:v>2024-05-13</x:v>
      </x:c>
      <x:c r="E737" t="str">
        <x:v>2024-05-14</x:v>
      </x:c>
      <x:c r="F737" t="str">
        <x:v>U400-DEETHANIZER-500</x:v>
      </x:c>
      <x:c r="G737" t="str">
        <x:v>TV-501</x:v>
      </x:c>
      <x:c r="H737" t="str">
        <x:v>reboiler hot medium valve</x:v>
      </x:c>
      <x:c r="I737" t="str">
        <x:v>control_valve</x:v>
      </x:c>
      <x:c r="J737" t="str">
        <x:v>P2</x:v>
      </x:c>
      <x:c r="K737" t="str">
        <x:v>CLSD</x:v>
      </x:c>
      <x:c r="L737" t="str">
        <x:v>INST</x:v>
      </x:c>
      <x:c r="M737" t="str">
        <x:v>feed_composition_shift</x:v>
      </x:c>
      <x:c r="N737" t="str">
        <x:v>passing</x:v>
      </x:c>
      <x:c r="O737" t="str">
        <x:v>LEAK_BY</x:v>
      </x:c>
      <x:c r="P737" t="str">
        <x:v>SEAT</x:v>
      </x:c>
      <x:c r="Q737" t="str">
        <x:v>Y</x:v>
      </x:c>
      <x:c r="R737" t="str">
        <x:v>11.8</x:v>
      </x:c>
      <x:c r="S737" t="str">
        <x:v>5410.23</x:v>
      </x:c>
      <x:c r="T737" t="str">
        <x:v>TV-501 not ok after feed composition shift</x:v>
      </x:c>
      <x:c r="U737" t="str">
        <x:v>night called for TV-501 reboiler hot medium vavle, ovhd c3 slip seen during feed composition shift. Foud passing; seat leak by. Tag plate dirty, confirmd by line up with panel. tightened fittings, leak test ok. still little hunting but acceptable. notif made by ops, maint attended same shift.</x:v>
      </x:c>
    </x:row>
    <x:row r="738" ht="15" hidden="0" customHeight="1">
      <x:c r="A738" t="str">
        <x:v>10450737</x:v>
      </x:c>
      <x:c r="B738" t="str">
        <x:v>40870737</x:v>
      </x:c>
      <x:c r="C738" t="str">
        <x:v>2024-05-13</x:v>
      </x:c>
      <x:c r="D738" t="str">
        <x:v>2024-05-14</x:v>
      </x:c>
      <x:c r="E738" t="str">
        <x:v>2024-05-16</x:v>
      </x:c>
      <x:c r="F738" t="str">
        <x:v>U400-DEETHANIZER-500</x:v>
      </x:c>
      <x:c r="G738" t="str">
        <x:v>LV-502</x:v>
      </x:c>
      <x:c r="H738" t="str">
        <x:v>bottoms level valve</x:v>
      </x:c>
      <x:c r="I738" t="str">
        <x:v>control_valve</x:v>
      </x:c>
      <x:c r="J738" t="str">
        <x:v>P4</x:v>
      </x:c>
      <x:c r="K738" t="str">
        <x:v>CLSD</x:v>
      </x:c>
      <x:c r="L738" t="str">
        <x:v>OPS+MECH</x:v>
      </x:c>
      <x:c r="M738" t="str">
        <x:v>valve_stiction</x:v>
      </x:c>
      <x:c r="N738" t="str">
        <x:v>air leak</x:v>
      </x:c>
      <x:c r="O738" t="str">
        <x:v>AIR_LEAK</x:v>
      </x:c>
      <x:c r="P738" t="str">
        <x:v>TUBING</x:v>
      </x:c>
      <x:c r="Q738" t="str">
        <x:v>N</x:v>
      </x:c>
      <x:c r="R738" t="str">
        <x:v>13.6</x:v>
      </x:c>
      <x:c r="S738" t="str">
        <x:v>3299.07</x:v>
      </x:c>
      <x:c r="T738" t="str">
        <x:v>LV-502 not ok after valve stiction</x:v>
      </x:c>
      <x:c r="U738" t="str">
        <x:v>days called for LV-502 bottoms level valve, position bad seen during valve stiction. Foud air leak; positioner supply drop. No spare in store at first, used refurb one from shop. changed gasket and boxed up. still little hunting but acceptable. notif made by ops, maint attended same shift.</x:v>
      </x:c>
    </x:row>
    <x:row r="739" ht="15" hidden="0" customHeight="1">
      <x:c r="A739" t="str">
        <x:v>10450738</x:v>
      </x:c>
      <x:c r="B739" t="str">
        <x:v>40870738</x:v>
      </x:c>
      <x:c r="C739" t="str">
        <x:v>2024-05-16</x:v>
      </x:c>
      <x:c r="D739" t="str">
        <x:v>2024-05-17</x:v>
      </x:c>
      <x:c r="E739" t="str">
        <x:v>2024-05-24</x:v>
      </x:c>
      <x:c r="F739" t="str">
        <x:v>U400-DEETHANIZER-500</x:v>
      </x:c>
      <x:c r="G739" t="str">
        <x:v>TV-501</x:v>
      </x:c>
      <x:c r="H739" t="str">
        <x:v>reboiler hot medium valve</x:v>
      </x:c>
      <x:c r="I739" t="str">
        <x:v>control_valve</x:v>
      </x:c>
      <x:c r="J739" t="str">
        <x:v>P3</x:v>
      </x:c>
      <x:c r="K739" t="str">
        <x:v>TECO</x:v>
      </x:c>
      <x:c r="L739" t="str">
        <x:v>OPS+MECH</x:v>
      </x:c>
      <x:c r="M739" t="str">
        <x:v>reboiler_duty_loss</x:v>
      </x:c>
      <x:c r="N739" t="str">
        <x:v>air leak</x:v>
      </x:c>
      <x:c r="O739" t="str">
        <x:v>AIR_LEAK</x:v>
      </x:c>
      <x:c r="P739" t="str">
        <x:v>TUBING</x:v>
      </x:c>
      <x:c r="Q739" t="str">
        <x:v>N</x:v>
      </x:c>
      <x:c r="R739" t="str">
        <x:v>11.5</x:v>
      </x:c>
      <x:c r="S739" t="str">
        <x:v>2460.78</x:v>
      </x:c>
      <x:c r="T739" t="str">
        <x:v>chk TV-501 - air leak frm ops</x:v>
      </x:c>
      <x:c r="U739" t="str">
        <x:v>C shift called for TV-501 reboiler hot medium valve, steam/hm valve no resp seen during reboiler duty loss. Foud air leak; positioner supply drop. replaced positioner tubing and retuned small. still little hunting but acceptable. notif made by ops, maint attended same shift.</x:v>
      </x:c>
    </x:row>
    <x:row r="740" ht="15" hidden="0" customHeight="1">
      <x:c r="A740" t="str">
        <x:v>10450739</x:v>
      </x:c>
      <x:c r="B740" t="str">
        <x:v>40870739</x:v>
      </x:c>
      <x:c r="C740" t="str">
        <x:v>2024-05-18</x:v>
      </x:c>
      <x:c r="D740" t="str">
        <x:v>2024-05-19</x:v>
      </x:c>
      <x:c r="E740" t="str">
        <x:v>2024-05-21</x:v>
      </x:c>
      <x:c r="F740" t="str">
        <x:v>U400-DEETHANIZER-500</x:v>
      </x:c>
      <x:c r="G740" t="str">
        <x:v>E-501</x:v>
      </x:c>
      <x:c r="H740" t="str">
        <x:v>deethanizer reboiler</x:v>
      </x:c>
      <x:c r="I740" t="str">
        <x:v>reboiler</x:v>
      </x:c>
      <x:c r="J740" t="str">
        <x:v>P3</x:v>
      </x:c>
      <x:c r="K740" t="str">
        <x:v>COMP</x:v>
      </x:c>
      <x:c r="L740" t="str">
        <x:v>E&amp;I</x:v>
      </x:c>
      <x:c r="M740" t="str">
        <x:v>feed_flow_step</x:v>
      </x:c>
      <x:c r="N740" t="str">
        <x:v>rb leak</x:v>
      </x:c>
      <x:c r="O740" t="str">
        <x:v>LEAK</x:v>
      </x:c>
      <x:c r="P740" t="str">
        <x:v>GASKET</x:v>
      </x:c>
      <x:c r="Q740" t="str">
        <x:v>N</x:v>
      </x:c>
      <x:c r="R740" t="str">
        <x:v>5.4</x:v>
      </x:c>
      <x:c r="S740" t="str">
        <x:v>5980.16</x:v>
      </x:c>
      <x:c r="T740" t="str">
        <x:v>E-501 rb leak again, prod upset</x:v>
      </x:c>
      <x:c r="U740" t="str">
        <x:v>days called for E-501 deethanizer reboiler, c2 recov down seen during feed flow step. Foud rb leak; channel flange weep. stroke tested, response better. no leak at handover. notif made by ops, maint attended same shift.</x:v>
      </x:c>
    </x:row>
    <x:row r="741" ht="15" hidden="0" customHeight="1">
      <x:c r="A741" t="str">
        <x:v>10450740</x:v>
      </x:c>
      <x:c r="B741" t="str">
        <x:v>40870740</x:v>
      </x:c>
      <x:c r="C741" t="str">
        <x:v>2024-05-17</x:v>
      </x:c>
      <x:c r="D741" t="str">
        <x:v>2024-05-19</x:v>
      </x:c>
      <x:c r="E741" t="str">
        <x:v>2024-05-20</x:v>
      </x:c>
      <x:c r="F741" t="str">
        <x:v>U400-DEETHANIZER-500</x:v>
      </x:c>
      <x:c r="G741" t="str">
        <x:v>E-502</x:v>
      </x:c>
      <x:c r="H741" t="str">
        <x:v>deethanizer overhead condenser</x:v>
      </x:c>
      <x:c r="I741" t="str">
        <x:v>condenser</x:v>
      </x:c>
      <x:c r="J741" t="str">
        <x:v>P3</x:v>
      </x:c>
      <x:c r="K741" t="str">
        <x:v>COMP</x:v>
      </x:c>
      <x:c r="L741" t="str">
        <x:v>VALVE</x:v>
      </x:c>
      <x:c r="M741" t="str">
        <x:v>condenser_fouling</x:v>
      </x:c>
      <x:c r="N741" t="str">
        <x:v>cw fouling</x:v>
      </x:c>
      <x:c r="O741" t="str">
        <x:v>FOULING</x:v>
      </x:c>
      <x:c r="P741" t="str">
        <x:v>UTILITY</x:v>
      </x:c>
      <x:c r="Q741" t="str">
        <x:v>N</x:v>
      </x:c>
      <x:c r="R741" t="str">
        <x:v>17.4</x:v>
      </x:c>
      <x:c r="S741" t="str">
        <x:v>7404.0</x:v>
      </x:c>
      <x:c r="T741" t="str">
        <x:v>E-502 cw fouling ops req</x:v>
      </x:c>
      <x:c r="U741" t="str">
        <x:v>A shift called for E-502 deethanizer overhead condenser, cond not pullng seen during condenser fouling. Foud cw fouling; cw side scaled. tightened fittings, leak test ok. readng close to dcs after job. notif made by ops, maint attended same shift.</x:v>
      </x:c>
    </x:row>
    <x:row r="742" ht="15" hidden="0" customHeight="1">
      <x:c r="A742" t="str">
        <x:v>10450741</x:v>
      </x:c>
      <x:c r="B742" t="str">
        <x:v>40870741</x:v>
      </x:c>
      <x:c r="C742" t="str">
        <x:v>2024-05-20</x:v>
      </x:c>
      <x:c r="D742" t="str">
        <x:v>2024-05-20</x:v>
      </x:c>
      <x:c r="E742" t="str">
        <x:v>2024-05-21</x:v>
      </x:c>
      <x:c r="F742" t="str">
        <x:v>U400-DEETHANIZER-500</x:v>
      </x:c>
      <x:c r="G742" t="str">
        <x:v>LT-501</x:v>
      </x:c>
      <x:c r="H742" t="str">
        <x:v>reflux drum level tx</x:v>
      </x:c>
      <x:c r="I742" t="str">
        <x:v>instrument</x:v>
      </x:c>
      <x:c r="J742" t="str">
        <x:v>P3</x:v>
      </x:c>
      <x:c r="K742" t="str">
        <x:v>CLSD</x:v>
      </x:c>
      <x:c r="L742" t="str">
        <x:v>INST</x:v>
      </x:c>
      <x:c r="M742" t="str">
        <x:v>normal_wear</x:v>
      </x:c>
      <x:c r="N742" t="str">
        <x:v>no signal</x:v>
      </x:c>
      <x:c r="O742" t="str">
        <x:v>NO_SIGNAL</x:v>
      </x:c>
      <x:c r="P742" t="str">
        <x:v>ELEC</x:v>
      </x:c>
      <x:c r="Q742" t="str">
        <x:v>N</x:v>
      </x:c>
      <x:c r="R742" t="str">
        <x:v>16.6</x:v>
      </x:c>
      <x:c r="S742" t="str">
        <x:v>1554.49</x:v>
      </x:c>
      <x:c r="T742" t="str">
        <x:v>chk LT-501 - no signal frm ops</x:v>
      </x:c>
      <x:c r="U742" t="str">
        <x:v>night called for LT-501 reflux drum level tx, bad reading seen during normal wear. Foud no signal; 24v or card issue. stroke tested, response better. readng close to dcs after job. notif made by ops, maint attended same shift.</x:v>
      </x:c>
    </x:row>
    <x:row r="743" ht="15" hidden="0" customHeight="1">
      <x:c r="A743" t="str">
        <x:v>10450742</x:v>
      </x:c>
      <x:c r="B743" t="str">
        <x:v>40870742</x:v>
      </x:c>
      <x:c r="C743" t="str">
        <x:v>2024-05-17</x:v>
      </x:c>
      <x:c r="D743" t="str">
        <x:v>2024-05-17</x:v>
      </x:c>
      <x:c r="E743" t="str">
        <x:v>2024-05-18</x:v>
      </x:c>
      <x:c r="F743" t="str">
        <x:v>U400-DEETHANIZER-500</x:v>
      </x:c>
      <x:c r="G743" t="str">
        <x:v>AIT-501</x:v>
      </x:c>
      <x:c r="H743" t="str">
        <x:v>overhead C2 analyzer</x:v>
      </x:c>
      <x:c r="I743" t="str">
        <x:v>analyzer</x:v>
      </x:c>
      <x:c r="J743" t="str">
        <x:v>P4</x:v>
      </x:c>
      <x:c r="K743" t="str">
        <x:v>TECO</x:v>
      </x:c>
      <x:c r="L743" t="str">
        <x:v>E&amp;I</x:v>
      </x:c>
      <x:c r="M743" t="str">
        <x:v>feed_composition_shift</x:v>
      </x:c>
      <x:c r="N743" t="str">
        <x:v>condensate in sample</x:v>
      </x:c>
      <x:c r="O743" t="str">
        <x:v>LIQ_CARRY</x:v>
      </x:c>
      <x:c r="P743" t="str">
        <x:v>SAMPLE</x:v>
      </x:c>
      <x:c r="Q743" t="str">
        <x:v>N</x:v>
      </x:c>
      <x:c r="R743" t="str">
        <x:v>5.2</x:v>
      </x:c>
      <x:c r="S743" t="str">
        <x:v>3432.56</x:v>
      </x:c>
      <x:c r="T743" t="str">
        <x:v>AIT-501 condensate in sample again, prod upset</x:v>
      </x:c>
      <x:c r="U743" t="str">
        <x:v>B shift called for AIT-501 overhead C2 analyzer, ovhd c3 slip seen during feed composition shift. Foud condensate in sample; knockout pot full. tightened fittings, leak test ok. unit stable now. notif made by ops, maint attended same shift.</x:v>
      </x:c>
    </x:row>
    <x:row r="744" ht="15" hidden="0" customHeight="1">
      <x:c r="A744" t="str">
        <x:v>10450743</x:v>
      </x:c>
      <x:c r="B744" t="str">
        <x:v>40870743</x:v>
      </x:c>
      <x:c r="C744" t="str">
        <x:v>2024-05-21</x:v>
      </x:c>
      <x:c r="D744" t="str">
        <x:v>2024-05-22</x:v>
      </x:c>
      <x:c r="E744" t="str">
        <x:v>2024-05-24</x:v>
      </x:c>
      <x:c r="F744" t="str">
        <x:v>U400-DEETHANIZER-500</x:v>
      </x:c>
      <x:c r="G744" t="str">
        <x:v>PSV-501A</x:v>
      </x:c>
      <x:c r="H744" t="str">
        <x:v>column relief valve A</x:v>
      </x:c>
      <x:c r="I744" t="str">
        <x:v>relief</x:v>
      </x:c>
      <x:c r="J744" t="str">
        <x:v>P4</x:v>
      </x:c>
      <x:c r="K744" t="str">
        <x:v>CLSD</x:v>
      </x:c>
      <x:c r="L744" t="str">
        <x:v>VALVE</x:v>
      </x:c>
      <x:c r="M744" t="str">
        <x:v>pressure_control_fault</x:v>
      </x:c>
      <x:c r="N744" t="str">
        <x:v>due to lift chk</x:v>
      </x:c>
      <x:c r="O744" t="str">
        <x:v>LIFT_EVENT</x:v>
      </x:c>
      <x:c r="P744" t="str">
        <x:v>PROCESS</x:v>
      </x:c>
      <x:c r="Q744" t="str">
        <x:v>N</x:v>
      </x:c>
      <x:c r="R744" t="str">
        <x:v>11.0</x:v>
      </x:c>
      <x:c r="S744" t="str">
        <x:v>1534.21</x:v>
      </x:c>
      <x:c r="T744" t="str">
        <x:v>PSV-501A due to lift chk again, prod upset</x:v>
      </x:c>
      <x:c r="U744" t="str">
        <x:v>night called for PSV-501A column relief valve A, flare valve checked seen during pressure control fault. Foud due to lift chk; after pressure excursion. changed gasket and boxed up. readng close to dcs after job. notif made by ops, maint attended same shift.</x:v>
      </x:c>
    </x:row>
    <x:row r="745" ht="15" hidden="0" customHeight="1">
      <x:c r="A745" t="str">
        <x:v>10450744</x:v>
      </x:c>
      <x:c r="B745" t="str">
        <x:v>40870744</x:v>
      </x:c>
      <x:c r="C745" t="str">
        <x:v>2024-05-21</x:v>
      </x:c>
      <x:c r="D745" t="str">
        <x:v>2024-05-23</x:v>
      </x:c>
      <x:c r="E745" t="str">
        <x:v>2024-05-23</x:v>
      </x:c>
      <x:c r="F745" t="str">
        <x:v>U400-DEETHANIZER-500</x:v>
      </x:c>
      <x:c r="G745" t="str">
        <x:v>P-501B</x:v>
      </x:c>
      <x:c r="H745" t="str">
        <x:v>reflux pump B</x:v>
      </x:c>
      <x:c r="I745" t="str">
        <x:v>pump</x:v>
      </x:c>
      <x:c r="J745" t="str">
        <x:v>P2</x:v>
      </x:c>
      <x:c r="K745" t="str">
        <x:v>TECO</x:v>
      </x:c>
      <x:c r="L745" t="str">
        <x:v>ROT</x:v>
      </x:c>
      <x:c r="M745" t="str">
        <x:v>condenser_fouling</x:v>
      </x:c>
      <x:c r="N745" t="str">
        <x:v>motor trip</x:v>
      </x:c>
      <x:c r="O745" t="str">
        <x:v>MOTOR</x:v>
      </x:c>
      <x:c r="P745" t="str">
        <x:v>ELEC</x:v>
      </x:c>
      <x:c r="Q745" t="str">
        <x:v>N</x:v>
      </x:c>
      <x:c r="R745" t="str">
        <x:v>6.8</x:v>
      </x:c>
      <x:c r="S745" t="str">
        <x:v>2004.18</x:v>
      </x:c>
      <x:c r="T745" t="str">
        <x:v>chk P-501B - motor trip frm ops</x:v>
      </x:c>
      <x:c r="U745" t="str">
        <x:v>C shift called for P-501B reflux pump B, high ovhd press seen during condenser fouling. Foud motor trip; overload trip after upset. History shows same complain last mnth. reset trip and monitored for 2 hrs. temp repair only, plan shutdown job. notif made by ops, maint attended same shift.</x:v>
      </x:c>
    </x:row>
    <x:row r="746" ht="15" hidden="0" customHeight="1">
      <x:c r="A746" t="str">
        <x:v>10450745</x:v>
      </x:c>
      <x:c r="B746" t="str">
        <x:v>40870745</x:v>
      </x:c>
      <x:c r="C746" t="str">
        <x:v>2024-05-24</x:v>
      </x:c>
      <x:c r="D746" t="str">
        <x:v>2024-05-24</x:v>
      </x:c>
      <x:c r="E746" t="str">
        <x:v>2024-05-29</x:v>
      </x:c>
      <x:c r="F746" t="str">
        <x:v>U400-DEETHANIZER-500</x:v>
      </x:c>
      <x:c r="G746" t="str">
        <x:v>P-502A</x:v>
      </x:c>
      <x:c r="H746" t="str">
        <x:v>bottoms pump A</x:v>
      </x:c>
      <x:c r="I746" t="str">
        <x:v>pump</x:v>
      </x:c>
      <x:c r="J746" t="str">
        <x:v>P3</x:v>
      </x:c>
      <x:c r="K746" t="str">
        <x:v>TECO</x:v>
      </x:c>
      <x:c r="L746" t="str">
        <x:v>ANLYZR</x:v>
      </x:c>
      <x:c r="M746" t="str">
        <x:v>pressure_control_fault</x:v>
      </x:c>
      <x:c r="N746" t="str">
        <x:v>bearing hot</x:v>
      </x:c>
      <x:c r="O746" t="str">
        <x:v>BRG</x:v>
      </x:c>
      <x:c r="P746" t="str">
        <x:v>WEAR</x:v>
      </x:c>
      <x:c r="Q746" t="str">
        <x:v>N</x:v>
      </x:c>
      <x:c r="R746" t="str">
        <x:v>2.6</x:v>
      </x:c>
      <x:c r="S746" t="str">
        <x:v>4537.86</x:v>
      </x:c>
      <x:c r="T746" t="str">
        <x:v>P-502A bearing hot ops req</x:v>
      </x:c>
      <x:c r="U746" t="str">
        <x:v>B shift called for P-502A bottoms pump A, pshh close call seen during pressure control fault. Foud bearing hot; brg rough, lube dark. Line was hot so job done slow and with ops standing by. replaced positioner tubing and retuned small. still little hunting but acceptable. notif made by ops, maint attended same shift.</x:v>
      </x:c>
    </x:row>
    <x:row r="747" ht="15" hidden="0" customHeight="1">
      <x:c r="A747" t="str">
        <x:v>10450746</x:v>
      </x:c>
      <x:c r="B747" t="str">
        <x:v>40870746</x:v>
      </x:c>
      <x:c r="C747" t="str">
        <x:v>2024-05-24</x:v>
      </x:c>
      <x:c r="D747" t="str">
        <x:v>2024-05-24</x:v>
      </x:c>
      <x:c r="E747" t="str">
        <x:v>2024-05-31</x:v>
      </x:c>
      <x:c r="F747" t="str">
        <x:v>U400-DEETHANIZER-500</x:v>
      </x:c>
      <x:c r="G747" t="str">
        <x:v>TV-501</x:v>
      </x:c>
      <x:c r="H747" t="str">
        <x:v>reboiler hot medium valve</x:v>
      </x:c>
      <x:c r="I747" t="str">
        <x:v>control_valve</x:v>
      </x:c>
      <x:c r="J747" t="str">
        <x:v>P2</x:v>
      </x:c>
      <x:c r="K747" t="str">
        <x:v>COMP</x:v>
      </x:c>
      <x:c r="L747" t="str">
        <x:v>OPS+INST</x:v>
      </x:c>
      <x:c r="M747" t="str">
        <x:v>valve_stiction</x:v>
      </x:c>
      <x:c r="N747" t="str">
        <x:v>not stroking</x:v>
      </x:c>
      <x:c r="O747" t="str">
        <x:v>NO_TRAVEL</x:v>
      </x:c>
      <x:c r="P747" t="str">
        <x:v>ACT</x:v>
      </x:c>
      <x:c r="Q747" t="str">
        <x:v>N</x:v>
      </x:c>
      <x:c r="R747" t="str">
        <x:v>2.2</x:v>
      </x:c>
      <x:c r="S747" t="str">
        <x:v>2486.23</x:v>
      </x:c>
      <x:c r="T747" t="str">
        <x:v>TV-501 not ok after vavle stiction</x:v>
      </x:c>
      <x:c r="U747" t="str">
        <x:v>B shift called for TV-501 reboiler hot medium valve, loop cycling seen during valve stiction. Foud not stroking; actuator weak. Line was hot so job done slow and with ops standing by. swapped to standby and repaired. temp repair only, plan shutdown job. notif made by ops, maint attended same shift.</x:v>
      </x:c>
    </x:row>
    <x:row r="748" ht="15" hidden="0" customHeight="1">
      <x:c r="A748" t="str">
        <x:v>10450747</x:v>
      </x:c>
      <x:c r="B748" t="str">
        <x:v>40870747</x:v>
      </x:c>
      <x:c r="C748" t="str">
        <x:v>2024-05-25</x:v>
      </x:c>
      <x:c r="D748" t="str">
        <x:v>2024-05-26</x:v>
      </x:c>
      <x:c r="E748" t="str">
        <x:v>2024-05-29</x:v>
      </x:c>
      <x:c r="F748" t="str">
        <x:v>U400-DEETHANIZER-500</x:v>
      </x:c>
      <x:c r="G748" t="str">
        <x:v>P-501B</x:v>
      </x:c>
      <x:c r="H748" t="str">
        <x:v>reflux pump B</x:v>
      </x:c>
      <x:c r="I748" t="str">
        <x:v>pump</x:v>
      </x:c>
      <x:c r="J748" t="str">
        <x:v>P3</x:v>
      </x:c>
      <x:c r="K748" t="str">
        <x:v>TECO</x:v>
      </x:c>
      <x:c r="L748" t="str">
        <x:v>OPS+MECH</x:v>
      </x:c>
      <x:c r="M748" t="str">
        <x:v>reflux_pump_degradation</x:v>
      </x:c>
      <x:c r="N748" t="str">
        <x:v>bearing hot</x:v>
      </x:c>
      <x:c r="O748" t="str">
        <x:v>BRG</x:v>
      </x:c>
      <x:c r="P748" t="str">
        <x:v>WEAR</x:v>
      </x:c>
      <x:c r="Q748" t="str">
        <x:v>N</x:v>
      </x:c>
      <x:c r="R748" t="str">
        <x:v>7.3</x:v>
      </x:c>
      <x:c r="S748" t="str">
        <x:v>4195.68</x:v>
      </x:c>
      <x:c r="T748" t="str">
        <x:v>P-501B bearing hot chk &amp; revert</x:v>
      </x:c>
      <x:c r="U748" t="str">
        <x:v>night called for P-501B reflux pump B, pump vib seen during reflux pump degradation. Foud bearing hot; brg rough, lube dark. Tag plate dirty, confirmd by line up with panel. tightened fittings, leak test ok. unit stable now. notif made by ops, maint attended same shift.</x:v>
      </x:c>
    </x:row>
    <x:row r="749" ht="15" hidden="0" customHeight="1">
      <x:c r="A749" t="str">
        <x:v>10450748</x:v>
      </x:c>
      <x:c r="B749" t="str">
        <x:v>40870748</x:v>
      </x:c>
      <x:c r="C749" t="str">
        <x:v>2024-05-30</x:v>
      </x:c>
      <x:c r="D749" t="str">
        <x:v>2024-05-30</x:v>
      </x:c>
      <x:c r="E749" t="str">
        <x:v>2024-05-31</x:v>
      </x:c>
      <x:c r="F749" t="str">
        <x:v>U400-DEETHANIZER-500</x:v>
      </x:c>
      <x:c r="G749" t="str">
        <x:v>E-502</x:v>
      </x:c>
      <x:c r="H749" t="str">
        <x:v>deethanizer overhead condenser</x:v>
      </x:c>
      <x:c r="I749" t="str">
        <x:v>condenser</x:v>
      </x:c>
      <x:c r="J749" t="str">
        <x:v>P4</x:v>
      </x:c>
      <x:c r="K749" t="str">
        <x:v>COMP</x:v>
      </x:c>
      <x:c r="L749" t="str">
        <x:v>VALVE</x:v>
      </x:c>
      <x:c r="M749" t="str">
        <x:v>pressure_control_fault</x:v>
      </x:c>
      <x:c r="N749" t="str">
        <x:v>cw fouling</x:v>
      </x:c>
      <x:c r="O749" t="str">
        <x:v>FOULING</x:v>
      </x:c>
      <x:c r="P749" t="str">
        <x:v>UTILITY</x:v>
      </x:c>
      <x:c r="Q749" t="str">
        <x:v>N</x:v>
      </x:c>
      <x:c r="R749" t="str">
        <x:v>13.0</x:v>
      </x:c>
      <x:c r="S749" t="str">
        <x:v>10328.97</x:v>
      </x:c>
      <x:c r="T749" t="str">
        <x:v>E-502 pshh close call, cw fouling</x:v>
      </x:c>
      <x:c r="U749" t="str">
        <x:v>C shift called for E-502 deethanizer overhead condenser, pv not movng seen during pressure control fault. Foud cw fouling; cw side scaled. History shows same complain last mnth. stroke tested, response better. unit stable now. notif made by ops, maint attended same shift.</x:v>
      </x:c>
    </x:row>
    <x:row r="750" ht="15" hidden="0" customHeight="1">
      <x:c r="A750" t="str">
        <x:v>10450749</x:v>
      </x:c>
      <x:c r="B750" t="str">
        <x:v>40870749</x:v>
      </x:c>
      <x:c r="C750" t="str">
        <x:v>2024-05-28</x:v>
      </x:c>
      <x:c r="D750" t="str">
        <x:v>2024-05-28</x:v>
      </x:c>
      <x:c r="E750" t="str">
        <x:v>2024-05-28</x:v>
      </x:c>
      <x:c r="F750" t="str">
        <x:v>U400-DEETHANIZER-500</x:v>
      </x:c>
      <x:c r="G750" t="str">
        <x:v>E-503</x:v>
      </x:c>
      <x:c r="H750" t="str">
        <x:v>feed bottoms exchanger</x:v>
      </x:c>
      <x:c r="I750" t="str">
        <x:v>exchanger</x:v>
      </x:c>
      <x:c r="J750" t="str">
        <x:v>P3</x:v>
      </x:c>
      <x:c r="K750" t="str">
        <x:v>COMP</x:v>
      </x:c>
      <x:c r="L750" t="str">
        <x:v>INST</x:v>
      </x:c>
      <x:c r="M750" t="str">
        <x:v>pressure_control_fault</x:v>
      </x:c>
      <x:c r="N750" t="str">
        <x:v>plugged pass</x:v>
      </x:c>
      <x:c r="O750" t="str">
        <x:v>PLUG</x:v>
      </x:c>
      <x:c r="P750" t="str">
        <x:v>FOUL</x:v>
      </x:c>
      <x:c r="Q750" t="str">
        <x:v>N</x:v>
      </x:c>
      <x:c r="R750" t="str">
        <x:v>2.2</x:v>
      </x:c>
      <x:c r="S750" t="str">
        <x:v>12998.83</x:v>
      </x:c>
      <x:c r="T750" t="str">
        <x:v>E-503 plugged pass again, prod upset</x:v>
      </x:c>
      <x:c r="U750" t="str">
        <x:v>A shift called for E-503 feed bottoms exchanger, pshh close call seen during pressure control fault. Foud plugged pass; flow restricted. History shows same complain last mnth. opened strainer, cleaned black sludge. still little hunting but acceptable. notif made by ops, maint attended same shift.</x:v>
      </x:c>
    </x:row>
    <x:row r="751" ht="15" hidden="0" customHeight="1">
      <x:c r="A751" t="str">
        <x:v>10450750</x:v>
      </x:c>
      <x:c r="B751" t="str">
        <x:v>40870750</x:v>
      </x:c>
      <x:c r="C751" t="str">
        <x:v>2024-05-29</x:v>
      </x:c>
      <x:c r="D751" t="str">
        <x:v>2024-05-29</x:v>
      </x:c>
      <x:c r="E751" t="str">
        <x:v>2024-05-31</x:v>
      </x:c>
      <x:c r="F751" t="str">
        <x:v>U400-DEETHANIZER-500</x:v>
      </x:c>
      <x:c r="G751" t="str">
        <x:v>P-501B</x:v>
      </x:c>
      <x:c r="H751" t="str">
        <x:v>reflux pump B</x:v>
      </x:c>
      <x:c r="I751" t="str">
        <x:v>pump</x:v>
      </x:c>
      <x:c r="J751" t="str">
        <x:v>P3</x:v>
      </x:c>
      <x:c r="K751" t="str">
        <x:v>CLSD</x:v>
      </x:c>
      <x:c r="L751" t="str">
        <x:v>VALVE</x:v>
      </x:c>
      <x:c r="M751" t="str">
        <x:v>feed_composition_shift</x:v>
      </x:c>
      <x:c r="N751" t="str">
        <x:v>seal leak</x:v>
      </x:c>
      <x:c r="O751" t="str">
        <x:v>MECH_SEAL</x:v>
      </x:c>
      <x:c r="P751" t="str">
        <x:v>SEAL</x:v>
      </x:c>
      <x:c r="Q751" t="str">
        <x:v>N</x:v>
      </x:c>
      <x:c r="R751" t="str">
        <x:v>1.6</x:v>
      </x:c>
      <x:c r="S751" t="str">
        <x:v>4542.38</x:v>
      </x:c>
      <x:c r="T751" t="str">
        <x:v>chk P-501B - seal leak frm ops</x:v>
      </x:c>
      <x:c r="U751" t="str">
        <x:v>A shift called for P-501B reflux pump B, quality bad seen during feed composition shift. Foud seal leak; seal face worn / dry run signs. flushed impulse/sample line. no leak at handover. notif made by ops, maint attended same shift.</x:v>
      </x:c>
    </x:row>
    <x:row r="752" ht="15" hidden="0" customHeight="1">
      <x:c r="A752" t="str">
        <x:v>10450751</x:v>
      </x:c>
      <x:c r="B752" t="str">
        <x:v>40870751</x:v>
      </x:c>
      <x:c r="C752" t="str">
        <x:v>2024-06-05</x:v>
      </x:c>
      <x:c r="D752" t="str">
        <x:v>2024-06-06</x:v>
      </x:c>
      <x:c r="E752" t="str">
        <x:v>2024-06-09</x:v>
      </x:c>
      <x:c r="F752" t="str">
        <x:v>U400-DEETHANIZER-500</x:v>
      </x:c>
      <x:c r="G752" t="str">
        <x:v>TT-501B</x:v>
      </x:c>
      <x:c r="H752" t="str">
        <x:v>sensitive tray temperature tx</x:v>
      </x:c>
      <x:c r="I752" t="str">
        <x:v>instrument</x:v>
      </x:c>
      <x:c r="J752" t="str">
        <x:v>P2</x:v>
      </x:c>
      <x:c r="K752" t="str">
        <x:v>CLSD</x:v>
      </x:c>
      <x:c r="L752" t="str">
        <x:v>INST</x:v>
      </x:c>
      <x:c r="M752" t="str">
        <x:v>reboiler_duty_loss</x:v>
      </x:c>
      <x:c r="N752" t="str">
        <x:v>no signal</x:v>
      </x:c>
      <x:c r="O752" t="str">
        <x:v>NO_SIGNAL</x:v>
      </x:c>
      <x:c r="P752" t="str">
        <x:v>ELEC</x:v>
      </x:c>
      <x:c r="Q752" t="str">
        <x:v>N</x:v>
      </x:c>
      <x:c r="R752" t="str">
        <x:v>11.2</x:v>
      </x:c>
      <x:c r="S752" t="str">
        <x:v>2168.13</x:v>
      </x:c>
      <x:c r="T752" t="str">
        <x:v>TT-501B no signal again, prod upset</x:v>
      </x:c>
      <x:c r="U752" t="str">
        <x:v>days called for TT-501B sensitive tray temperature tx, steam/hm valve no resp seen during reboiler duty loss. Foud no signal; 24v or card issue. replaced positioner tubing and retuned small. readng close to dcs after job. notif made by ops, maint attended same shift.</x:v>
      </x:c>
    </x:row>
    <x:row r="753" ht="15" hidden="0" customHeight="1">
      <x:c r="A753" t="str">
        <x:v>10450752</x:v>
      </x:c>
      <x:c r="B753" t="str">
        <x:v>40870752</x:v>
      </x:c>
      <x:c r="C753" t="str">
        <x:v>2024-06-05</x:v>
      </x:c>
      <x:c r="D753" t="str">
        <x:v>2024-06-05</x:v>
      </x:c>
      <x:c r="E753" t="str">
        <x:v>2024-06-08</x:v>
      </x:c>
      <x:c r="F753" t="str">
        <x:v>U400-DEETHANIZER-500</x:v>
      </x:c>
      <x:c r="G753" t="str">
        <x:v>TT-501B</x:v>
      </x:c>
      <x:c r="H753" t="str">
        <x:v>sensitive tray temperature tx</x:v>
      </x:c>
      <x:c r="I753" t="str">
        <x:v>instrument</x:v>
      </x:c>
      <x:c r="J753" t="str">
        <x:v>P3</x:v>
      </x:c>
      <x:c r="K753" t="str">
        <x:v>COMP</x:v>
      </x:c>
      <x:c r="L753" t="str">
        <x:v>INST</x:v>
      </x:c>
      <x:c r="M753" t="str">
        <x:v>valve_stiction</x:v>
      </x:c>
      <x:c r="N753" t="str">
        <x:v>loose wire</x:v>
      </x:c>
      <x:c r="O753" t="str">
        <x:v>SIGNAL</x:v>
      </x:c>
      <x:c r="P753" t="str">
        <x:v>ELEC</x:v>
      </x:c>
      <x:c r="Q753" t="str">
        <x:v>N</x:v>
      </x:c>
      <x:c r="R753" t="str">
        <x:v>9.9</x:v>
      </x:c>
      <x:c r="S753" t="str">
        <x:v>326.59</x:v>
      </x:c>
      <x:c r="T753" t="str">
        <x:v>TT-501B loose wire again, prod upset</x:v>
      </x:c>
      <x:c r="U753" t="str">
        <x:v>night called for TT-501B sensitive tray temperature tx, loop cycling seen during valve stiction. Foud loose wire; term loose. Could not get permit first time waiting area gas test. changed gasket and boxed up. no leak at handover. notif made by ops, maint attended same shift.</x:v>
      </x:c>
    </x:row>
    <x:row r="754" ht="15" hidden="0" customHeight="1">
      <x:c r="A754" t="str">
        <x:v>10450753</x:v>
      </x:c>
      <x:c r="B754" t="str">
        <x:v>40870753</x:v>
      </x:c>
      <x:c r="C754" t="str">
        <x:v>2024-06-05</x:v>
      </x:c>
      <x:c r="D754" t="str">
        <x:v>2024-06-05</x:v>
      </x:c>
      <x:c r="E754" t="str">
        <x:v>2024-06-08</x:v>
      </x:c>
      <x:c r="F754" t="str">
        <x:v>U400-DEETHANIZER-500</x:v>
      </x:c>
      <x:c r="G754" t="str">
        <x:v>FV-501</x:v>
      </x:c>
      <x:c r="H754" t="str">
        <x:v>feed flow control valve</x:v>
      </x:c>
      <x:c r="I754" t="str">
        <x:v>control_valve</x:v>
      </x:c>
      <x:c r="J754" t="str">
        <x:v>P3</x:v>
      </x:c>
      <x:c r="K754" t="str">
        <x:v>CLSD</x:v>
      </x:c>
      <x:c r="L754" t="str">
        <x:v>MECH</x:v>
      </x:c>
      <x:c r="M754" t="str">
        <x:v>valve_stiction</x:v>
      </x:c>
      <x:c r="N754" t="str">
        <x:v>passing</x:v>
      </x:c>
      <x:c r="O754" t="str">
        <x:v>LEAK_BY</x:v>
      </x:c>
      <x:c r="P754" t="str">
        <x:v>SEAT</x:v>
      </x:c>
      <x:c r="Q754" t="str">
        <x:v>N</x:v>
      </x:c>
      <x:c r="R754" t="str">
        <x:v>3.7</x:v>
      </x:c>
      <x:c r="S754" t="str">
        <x:v>4719.46</x:v>
      </x:c>
      <x:c r="T754" t="str">
        <x:v>FV-501 passing again, prod upset</x:v>
      </x:c>
      <x:c r="U754" t="str">
        <x:v>C shift called for FV-501 feed flow control valve, loop cycling seen during valve stiction. Foud passing; seat leak by. Tag plate dirty, confirmd by line up with panel. changed gasket and boxed up. no leak at handover. notif made by ops, maint attended same shift.</x:v>
      </x:c>
    </x:row>
    <x:row r="755" ht="15" hidden="0" customHeight="1">
      <x:c r="A755" t="str">
        <x:v>10450754</x:v>
      </x:c>
      <x:c r="B755" t="str">
        <x:v>40870754</x:v>
      </x:c>
      <x:c r="C755" t="str">
        <x:v>2024-06-07</x:v>
      </x:c>
      <x:c r="D755" t="str">
        <x:v>2024-06-08</x:v>
      </x:c>
      <x:c r="E755" t="str">
        <x:v>2024-06-09</x:v>
      </x:c>
      <x:c r="F755" t="str">
        <x:v>U400-DEETHANIZER-500</x:v>
      </x:c>
      <x:c r="G755" t="str">
        <x:v>PT-501</x:v>
      </x:c>
      <x:c r="H755" t="str">
        <x:v>column overhead pressure tx</x:v>
      </x:c>
      <x:c r="I755" t="str">
        <x:v>instrument</x:v>
      </x:c>
      <x:c r="J755" t="str">
        <x:v>P4</x:v>
      </x:c>
      <x:c r="K755" t="str">
        <x:v>COMP</x:v>
      </x:c>
      <x:c r="L755" t="str">
        <x:v>OPS+INST</x:v>
      </x:c>
      <x:c r="M755" t="str">
        <x:v>condenser_fouling</x:v>
      </x:c>
      <x:c r="N755" t="str">
        <x:v>bad reading</x:v>
      </x:c>
      <x:c r="O755" t="str">
        <x:v>DRIFT</x:v>
      </x:c>
      <x:c r="P755" t="str">
        <x:v>CAL</x:v>
      </x:c>
      <x:c r="Q755" t="str">
        <x:v>N</x:v>
      </x:c>
      <x:c r="R755" t="str">
        <x:v>4.5</x:v>
      </x:c>
      <x:c r="S755" t="str">
        <x:v>4640.57</x:v>
      </x:c>
      <x:c r="T755" t="str">
        <x:v>PT-501 not ok after condenser fouling</x:v>
      </x:c>
      <x:c r="U755" t="str">
        <x:v>A shift called for PT-501 column overhead pressure tx, pic wide open seen during condenser fouling. Foud bad reading; needs calib. No spare in store at first, used refurb one from shop. opened strainer, cleaned black sludge. temp repair only, plan shutdown job. notif made by ops, maint attended same shift.</x:v>
      </x:c>
    </x:row>
    <x:row r="756" ht="15" hidden="0" customHeight="1">
      <x:c r="A756" t="str">
        <x:v>10450755</x:v>
      </x:c>
      <x:c r="B756" t="str">
        <x:v>40870755</x:v>
      </x:c>
      <x:c r="C756" t="str">
        <x:v>2024-06-08</x:v>
      </x:c>
      <x:c r="D756" t="str">
        <x:v>2024-06-09</x:v>
      </x:c>
      <x:c r="E756" t="str">
        <x:v>2024-06-09</x:v>
      </x:c>
      <x:c r="F756" t="str">
        <x:v>U400-DEETHANIZER-500</x:v>
      </x:c>
      <x:c r="G756" t="str">
        <x:v>T-501</x:v>
      </x:c>
      <x:c r="H756" t="str">
        <x:v>deethanizer column</x:v>
      </x:c>
      <x:c r="I756" t="str">
        <x:v>column</x:v>
      </x:c>
      <x:c r="J756" t="str">
        <x:v>P1</x:v>
      </x:c>
      <x:c r="K756" t="str">
        <x:v>CLSD</x:v>
      </x:c>
      <x:c r="L756" t="str">
        <x:v>OPS+INST</x:v>
      </x:c>
      <x:c r="M756" t="str">
        <x:v>feed_flow_step</x:v>
      </x:c>
      <x:c r="N756" t="str">
        <x:v>level unstable</x:v>
      </x:c>
      <x:c r="O756" t="str">
        <x:v>LVL_SWING</x:v>
      </x:c>
      <x:c r="P756" t="str">
        <x:v>CTRL</x:v>
      </x:c>
      <x:c r="Q756" t="str">
        <x:v>N</x:v>
      </x:c>
      <x:c r="R756" t="str">
        <x:v>12.9</x:v>
      </x:c>
      <x:c r="S756" t="str">
        <x:v>2327.38</x:v>
      </x:c>
      <x:c r="T756" t="str">
        <x:v>T-501 not ok after feed flow step</x:v>
      </x:c>
      <x:c r="U756" t="str">
        <x:v>night called for T-501 deethanizer column, fic hunting seen during feed flow step. Foud level unstable; sump level swing. History shows same complain last mnth. tightened fittings, leak test ok. ops says ok for now. notif made by ops, maint attended same shift.</x:v>
      </x:c>
    </x:row>
    <x:row r="757" ht="15" hidden="0" customHeight="1">
      <x:c r="A757" t="str">
        <x:v>10450756</x:v>
      </x:c>
      <x:c r="B757" t="str">
        <x:v>40870756</x:v>
      </x:c>
      <x:c r="C757" t="str">
        <x:v>2024-06-09</x:v>
      </x:c>
      <x:c r="D757" t="str">
        <x:v>2024-06-09</x:v>
      </x:c>
      <x:c r="E757" t="str">
        <x:v>2024-06-09</x:v>
      </x:c>
      <x:c r="F757" t="str">
        <x:v>U400-DEETHANIZER-500</x:v>
      </x:c>
      <x:c r="G757" t="str">
        <x:v>E-501</x:v>
      </x:c>
      <x:c r="H757" t="str">
        <x:v>deethanizer reboiler</x:v>
      </x:c>
      <x:c r="I757" t="str">
        <x:v>reboiler</x:v>
      </x:c>
      <x:c r="J757" t="str">
        <x:v>P2</x:v>
      </x:c>
      <x:c r="K757" t="str">
        <x:v>COMP</x:v>
      </x:c>
      <x:c r="L757" t="str">
        <x:v>MECH</x:v>
      </x:c>
      <x:c r="M757" t="str">
        <x:v>normal_wear</x:v>
      </x:c>
      <x:c r="N757" t="str">
        <x:v>fouled bundle</x:v>
      </x:c>
      <x:c r="O757" t="str">
        <x:v>FOULING</x:v>
      </x:c>
      <x:c r="P757" t="str">
        <x:v>PROCESS</x:v>
      </x:c>
      <x:c r="Q757" t="str">
        <x:v>N</x:v>
      </x:c>
      <x:c r="R757" t="str">
        <x:v>1.2</x:v>
      </x:c>
      <x:c r="S757" t="str">
        <x:v>6003.2</x:v>
      </x:c>
      <x:c r="T757" t="str">
        <x:v>E-501 fouled bundle pls chk</x:v>
      </x:c>
      <x:c r="U757" t="str">
        <x:v>B shift called for E-501 deethanizer reboiler, bad reading seen during normal wear. Foud fouled bundle; bottoms side dirty. stroke tested, response better. still little hunting but acceptable. notif made by ops, maint attended same shift.</x:v>
      </x:c>
    </x:row>
    <x:row r="758" ht="15" hidden="0" customHeight="1">
      <x:c r="A758" t="str">
        <x:v>10450757</x:v>
      </x:c>
      <x:c r="B758" t="str">
        <x:v>40870757</x:v>
      </x:c>
      <x:c r="C758" t="str">
        <x:v>2024-06-12</x:v>
      </x:c>
      <x:c r="D758" t="str">
        <x:v>2024-06-12</x:v>
      </x:c>
      <x:c r="E758" t="str">
        <x:v>2024-06-13</x:v>
      </x:c>
      <x:c r="F758" t="str">
        <x:v>U400-DEETHANIZER-500</x:v>
      </x:c>
      <x:c r="G758" t="str">
        <x:v>E-502</x:v>
      </x:c>
      <x:c r="H758" t="str">
        <x:v>deethanizer overhead condenser</x:v>
      </x:c>
      <x:c r="I758" t="str">
        <x:v>condenser</x:v>
      </x:c>
      <x:c r="J758" t="str">
        <x:v>P3</x:v>
      </x:c>
      <x:c r="K758" t="str">
        <x:v>TECO</x:v>
      </x:c>
      <x:c r="L758" t="str">
        <x:v>E&amp;I</x:v>
      </x:c>
      <x:c r="M758" t="str">
        <x:v>valve_stiction</x:v>
      </x:c>
      <x:c r="N758" t="str">
        <x:v>cw fouling</x:v>
      </x:c>
      <x:c r="O758" t="str">
        <x:v>FOULING</x:v>
      </x:c>
      <x:c r="P758" t="str">
        <x:v>UTILITY</x:v>
      </x:c>
      <x:c r="Q758" t="str">
        <x:v>N</x:v>
      </x:c>
      <x:c r="R758" t="str">
        <x:v>2.4</x:v>
      </x:c>
      <x:c r="S758" t="str">
        <x:v>14805.5</x:v>
      </x:c>
      <x:c r="T758" t="str">
        <x:v>E-502 cw fouling after upset</x:v>
      </x:c>
      <x:c r="U758" t="str">
        <x:v>C shift called for E-502 deethanizer overhead condenser, op jumps seen during valve stiction. Foud cw fouling; cw side scaled. flushed impulse/sample line. unit stable now. notif made by ops, maint attended same shift.</x:v>
      </x:c>
    </x:row>
    <x:row r="759" ht="15" hidden="0" customHeight="1">
      <x:c r="A759" t="str">
        <x:v>10450758</x:v>
      </x:c>
      <x:c r="B759" t="str">
        <x:v>40870758</x:v>
      </x:c>
      <x:c r="C759" t="str">
        <x:v>2024-06-11</x:v>
      </x:c>
      <x:c r="D759" t="str">
        <x:v>2024-06-12</x:v>
      </x:c>
      <x:c r="E759" t="str">
        <x:v>2024-06-13</x:v>
      </x:c>
      <x:c r="F759" t="str">
        <x:v>U400-DEETHANIZER-500</x:v>
      </x:c>
      <x:c r="G759" t="str">
        <x:v>E-502</x:v>
      </x:c>
      <x:c r="H759" t="str">
        <x:v>deethanizer overhead condenser</x:v>
      </x:c>
      <x:c r="I759" t="str">
        <x:v>condenser</x:v>
      </x:c>
      <x:c r="J759" t="str">
        <x:v>P4</x:v>
      </x:c>
      <x:c r="K759" t="str">
        <x:v>COMP</x:v>
      </x:c>
      <x:c r="L759" t="str">
        <x:v>ROT</x:v>
      </x:c>
      <x:c r="M759" t="str">
        <x:v>condenser_fouling</x:v>
      </x:c>
      <x:c r="N759" t="str">
        <x:v>tube leak sus</x:v>
      </x:c>
      <x:c r="O759" t="str">
        <x:v>LEAK</x:v>
      </x:c>
      <x:c r="P759" t="str">
        <x:v>TUBE</x:v>
      </x:c>
      <x:c r="Q759" t="str">
        <x:v>N</x:v>
      </x:c>
      <x:c r="R759" t="str">
        <x:v>13.5</x:v>
      </x:c>
      <x:c r="S759" t="str">
        <x:v>15739.18</x:v>
      </x:c>
      <x:c r="T759" t="str">
        <x:v>E-502 not ok after condnsr fouling</x:v>
      </x:c>
      <x:c r="U759" t="str">
        <x:v>C shift called for E-502 deethanizer overhead condenser, pic wide open seen during condenser fouling. Foud tube leak sus; hydrotest reqd. Line was hot so job done slow and with ops standing by. replaced positioner tubing and retuned small. ops says ok for now. notif made by ops, maint attended same shift.</x:v>
      </x:c>
    </x:row>
    <x:row r="760" ht="15" hidden="0" customHeight="1">
      <x:c r="A760" t="str">
        <x:v>10450759</x:v>
      </x:c>
      <x:c r="B760" t="str">
        <x:v>40870759</x:v>
      </x:c>
      <x:c r="C760" t="str">
        <x:v>2024-06-12</x:v>
      </x:c>
      <x:c r="D760" t="str">
        <x:v>2024-06-13</x:v>
      </x:c>
      <x:c r="E760" t="str">
        <x:v>2024-06-14</x:v>
      </x:c>
      <x:c r="F760" t="str">
        <x:v>U400-DEETHANIZER-500</x:v>
      </x:c>
      <x:c r="G760" t="str">
        <x:v>PT-501</x:v>
      </x:c>
      <x:c r="H760" t="str">
        <x:v>column overhead pressure tx</x:v>
      </x:c>
      <x:c r="I760" t="str">
        <x:v>instrument</x:v>
      </x:c>
      <x:c r="J760" t="str">
        <x:v>P3</x:v>
      </x:c>
      <x:c r="K760" t="str">
        <x:v>CLSD</x:v>
      </x:c>
      <x:c r="L760" t="str">
        <x:v>INST</x:v>
      </x:c>
      <x:c r="M760" t="str">
        <x:v>feed_composition_shift</x:v>
      </x:c>
      <x:c r="N760" t="str">
        <x:v>bad reading</x:v>
      </x:c>
      <x:c r="O760" t="str">
        <x:v>DRIFT</x:v>
      </x:c>
      <x:c r="P760" t="str">
        <x:v>CAL</x:v>
      </x:c>
      <x:c r="Q760" t="str">
        <x:v>N</x:v>
      </x:c>
      <x:c r="R760" t="str">
        <x:v>13.9</x:v>
      </x:c>
      <x:c r="S760" t="str">
        <x:v>4771.24</x:v>
      </x:c>
      <x:c r="T760" t="str">
        <x:v>PT-501 not ok after feed composition shift</x:v>
      </x:c>
      <x:c r="U760" t="str">
        <x:v>C shift called for PT-501 column overhead pressure tx, ovhd c3 slip seen during feed composition shift. Foud bad reading; needs calib. opened strainer, cleaned black sludge. unit stable now. notif made by ops, maint attended same shift.</x:v>
      </x:c>
    </x:row>
    <x:row r="761" ht="15" hidden="0" customHeight="1">
      <x:c r="A761" t="str">
        <x:v>10450760</x:v>
      </x:c>
      <x:c r="B761" t="str">
        <x:v>40870760</x:v>
      </x:c>
      <x:c r="C761" t="str">
        <x:v>2024-06-16</x:v>
      </x:c>
      <x:c r="D761" t="str">
        <x:v>2024-06-17</x:v>
      </x:c>
      <x:c r="E761" t="str">
        <x:v>2024-06-17</x:v>
      </x:c>
      <x:c r="F761" t="str">
        <x:v>U400-DEETHANIZER-500</x:v>
      </x:c>
      <x:c r="G761" t="str">
        <x:v>P-501A</x:v>
      </x:c>
      <x:c r="H761" t="str">
        <x:v>reflux pump A</x:v>
      </x:c>
      <x:c r="I761" t="str">
        <x:v>pump</x:v>
      </x:c>
      <x:c r="J761" t="str">
        <x:v>P3</x:v>
      </x:c>
      <x:c r="K761" t="str">
        <x:v>CLSD</x:v>
      </x:c>
      <x:c r="L761" t="str">
        <x:v>INST</x:v>
      </x:c>
      <x:c r="M761" t="str">
        <x:v>reflux_pump_degradation</x:v>
      </x:c>
      <x:c r="N761" t="str">
        <x:v>bearing hot</x:v>
      </x:c>
      <x:c r="O761" t="str">
        <x:v>BRG</x:v>
      </x:c>
      <x:c r="P761" t="str">
        <x:v>WEAR</x:v>
      </x:c>
      <x:c r="Q761" t="str">
        <x:v>N</x:v>
      </x:c>
      <x:c r="R761" t="str">
        <x:v>8.8</x:v>
      </x:c>
      <x:c r="S761" t="str">
        <x:v>10265.61</x:v>
      </x:c>
      <x:c r="T761" t="str">
        <x:v>chk P-501A - bearing hot frm ops</x:v>
      </x:c>
      <x:c r="U761" t="str">
        <x:v>B shift called for P-501A reflux pump A, low reflux seen during reflux pump degradation. Foud bearing hot; brg rough, lube dark. Tag plate dirty, confirmd by line up with panel. cleaned and put back online. ops says ok for now. notif made by ops, maint attended same shift.</x:v>
      </x:c>
    </x:row>
    <x:row r="762" ht="15" hidden="0" customHeight="1">
      <x:c r="A762" t="str">
        <x:v>10450761</x:v>
      </x:c>
      <x:c r="B762" t="str">
        <x:v>40870761</x:v>
      </x:c>
      <x:c r="C762" t="str">
        <x:v>2024-06-14</x:v>
      </x:c>
      <x:c r="D762" t="str">
        <x:v>2024-06-14</x:v>
      </x:c>
      <x:c r="E762" t="str">
        <x:v>2024-06-15</x:v>
      </x:c>
      <x:c r="F762" t="str">
        <x:v>U400-DEETHANIZER-500</x:v>
      </x:c>
      <x:c r="G762" t="str">
        <x:v>E-503</x:v>
      </x:c>
      <x:c r="H762" t="str">
        <x:v>feed bottoms exchanger</x:v>
      </x:c>
      <x:c r="I762" t="str">
        <x:v>exchanger</x:v>
      </x:c>
      <x:c r="J762" t="str">
        <x:v>P1</x:v>
      </x:c>
      <x:c r="K762" t="str">
        <x:v>COMP</x:v>
      </x:c>
      <x:c r="L762" t="str">
        <x:v>ANLYZR</x:v>
      </x:c>
      <x:c r="M762" t="str">
        <x:v>feed_composition_shift</x:v>
      </x:c>
      <x:c r="N762" t="str">
        <x:v>plugged pass</x:v>
      </x:c>
      <x:c r="O762" t="str">
        <x:v>PLUG</x:v>
      </x:c>
      <x:c r="P762" t="str">
        <x:v>FOUL</x:v>
      </x:c>
      <x:c r="Q762" t="str">
        <x:v>N</x:v>
      </x:c>
      <x:c r="R762" t="str">
        <x:v>5.1</x:v>
      </x:c>
      <x:c r="S762" t="str">
        <x:v>5291.81</x:v>
      </x:c>
      <x:c r="T762" t="str">
        <x:v>chk E-503 - plugged pass frm ops</x:v>
      </x:c>
      <x:c r="U762" t="str">
        <x:v>C shift called for E-503 feed bottoms exchanger, ovhd c3 slip seen during feed composition shift. Foud plugged pass; flow restricted. History shows same complain last mnth. tightened fittings, leak test ok. temp repair only, plan shutdown job. notif made by ops, maint attended same shift.</x:v>
      </x:c>
    </x:row>
    <x:row r="763" ht="15" hidden="0" customHeight="1">
      <x:c r="A763" t="str">
        <x:v>10450762</x:v>
      </x:c>
      <x:c r="B763" t="str">
        <x:v>40870762</x:v>
      </x:c>
      <x:c r="C763" t="str">
        <x:v>2024-06-19</x:v>
      </x:c>
      <x:c r="D763" t="str">
        <x:v>2024-06-19</x:v>
      </x:c>
      <x:c r="E763" t="str">
        <x:v>2024-06-19</x:v>
      </x:c>
      <x:c r="F763" t="str">
        <x:v>U400-DEETHANIZER-500</x:v>
      </x:c>
      <x:c r="G763" t="str">
        <x:v>FV-502</x:v>
      </x:c>
      <x:c r="H763" t="str">
        <x:v>reflux flow control valve</x:v>
      </x:c>
      <x:c r="I763" t="str">
        <x:v>control_valve</x:v>
      </x:c>
      <x:c r="J763" t="str">
        <x:v>P1</x:v>
      </x:c>
      <x:c r="K763" t="str">
        <x:v>COMP</x:v>
      </x:c>
      <x:c r="L763" t="str">
        <x:v>MECH</x:v>
      </x:c>
      <x:c r="M763" t="str">
        <x:v>reflux_pump_degradation</x:v>
      </x:c>
      <x:c r="N763" t="str">
        <x:v>passing</x:v>
      </x:c>
      <x:c r="O763" t="str">
        <x:v>LEAK_BY</x:v>
      </x:c>
      <x:c r="P763" t="str">
        <x:v>SEAT</x:v>
      </x:c>
      <x:c r="Q763" t="str">
        <x:v>N</x:v>
      </x:c>
      <x:c r="R763" t="str">
        <x:v>2.7</x:v>
      </x:c>
      <x:c r="S763" t="str">
        <x:v>4981.37</x:v>
      </x:c>
      <x:c r="T763" t="str">
        <x:v>FV-502 passing temp fix</x:v>
      </x:c>
      <x:c r="U763" t="str">
        <x:v>B shift called for FV-502 reflux flow ctrl valve, min flow hot seen during reflux pump degradation. Foud passing; seat leak by. Line was hot so job done slow and with ops standing by. cleaned and put back online. still little hunting but acceptable. notif made by ops, maint attended same shift.</x:v>
      </x:c>
    </x:row>
    <x:row r="764" ht="15" hidden="0" customHeight="1">
      <x:c r="A764" t="str">
        <x:v>10450763</x:v>
      </x:c>
      <x:c r="B764" t="str">
        <x:v>40870763</x:v>
      </x:c>
      <x:c r="C764" t="str">
        <x:v>2024-06-20</x:v>
      </x:c>
      <x:c r="D764" t="str">
        <x:v>2024-06-22</x:v>
      </x:c>
      <x:c r="E764" t="str">
        <x:v>2024-06-27</x:v>
      </x:c>
      <x:c r="F764" t="str">
        <x:v>U400-DEETHANIZER-500</x:v>
      </x:c>
      <x:c r="G764" t="str">
        <x:v>FT-501</x:v>
      </x:c>
      <x:c r="H764" t="str">
        <x:v>feed flow transmitter</x:v>
      </x:c>
      <x:c r="I764" t="str">
        <x:v>instrument</x:v>
      </x:c>
      <x:c r="J764" t="str">
        <x:v>P2</x:v>
      </x:c>
      <x:c r="K764" t="str">
        <x:v>TECO</x:v>
      </x:c>
      <x:c r="L764" t="str">
        <x:v>E&amp;I</x:v>
      </x:c>
      <x:c r="M764" t="str">
        <x:v>feed_composition_shift</x:v>
      </x:c>
      <x:c r="N764" t="str">
        <x:v>impulse plugged</x:v>
      </x:c>
      <x:c r="O764" t="str">
        <x:v>PLUG</x:v>
      </x:c>
      <x:c r="P764" t="str">
        <x:v>PROCESS</x:v>
      </x:c>
      <x:c r="Q764" t="str">
        <x:v>Y</x:v>
      </x:c>
      <x:c r="R764" t="str">
        <x:v>18.0</x:v>
      </x:c>
      <x:c r="S764" t="str">
        <x:v>4923.96</x:v>
      </x:c>
      <x:c r="T764" t="str">
        <x:v>chk FT-501 - impulse plugged frm ops</x:v>
      </x:c>
      <x:c r="U764" t="str">
        <x:v>night called for FT-501 feed flow transmitter, anlyzr off seen during feed composition shift. Foud impulse plugged; tap/line dirty. Line was hot so job done slow and with ops standing by. swapped to standby and repaired. temp repair only, plan shutdown job. notif made by ops, maint attended same shift.</x:v>
      </x:c>
    </x:row>
    <x:row r="765" ht="15" hidden="0" customHeight="1">
      <x:c r="A765" t="str">
        <x:v>10450764</x:v>
      </x:c>
      <x:c r="B765" t="str">
        <x:v>40870764</x:v>
      </x:c>
      <x:c r="C765" t="str">
        <x:v>2024-06-18</x:v>
      </x:c>
      <x:c r="D765" t="str">
        <x:v>2024-06-18</x:v>
      </x:c>
      <x:c r="E765" t="str">
        <x:v>2024-06-18</x:v>
      </x:c>
      <x:c r="F765" t="str">
        <x:v>U400-DEETHANIZER-500</x:v>
      </x:c>
      <x:c r="G765" t="str">
        <x:v>E-501</x:v>
      </x:c>
      <x:c r="H765" t="str">
        <x:v>deethanizer reboiler</x:v>
      </x:c>
      <x:c r="I765" t="str">
        <x:v>reboiler</x:v>
      </x:c>
      <x:c r="J765" t="str">
        <x:v>P2</x:v>
      </x:c>
      <x:c r="K765" t="str">
        <x:v>TECO</x:v>
      </x:c>
      <x:c r="L765" t="str">
        <x:v>E&amp;I</x:v>
      </x:c>
      <x:c r="M765" t="str">
        <x:v>reboiler_duty_loss</x:v>
      </x:c>
      <x:c r="N765" t="str">
        <x:v>fouled bundle</x:v>
      </x:c>
      <x:c r="O765" t="str">
        <x:v>FOULING</x:v>
      </x:c>
      <x:c r="P765" t="str">
        <x:v>PROCESS</x:v>
      </x:c>
      <x:c r="Q765" t="str">
        <x:v>N</x:v>
      </x:c>
      <x:c r="R765" t="str">
        <x:v>9.8</x:v>
      </x:c>
      <x:c r="S765" t="str">
        <x:v>997.75</x:v>
      </x:c>
      <x:c r="T765" t="str">
        <x:v>E-501 fouled bundle again, prod upset</x:v>
      </x:c>
      <x:c r="U765" t="str">
        <x:v>days called for E-501 deethanizer reboiler, tray temp low seen during reboiler duty loss. Foud fouled bundle; bottoms side dirty. cleaned and put back online. unit stable now. notif made by ops, maint attended same shift.</x:v>
      </x:c>
    </x:row>
    <x:row r="766" ht="15" hidden="0" customHeight="1">
      <x:c r="A766" t="str">
        <x:v>10450765</x:v>
      </x:c>
      <x:c r="B766" t="str">
        <x:v>40870765</x:v>
      </x:c>
      <x:c r="C766" t="str">
        <x:v>2024-06-23</x:v>
      </x:c>
      <x:c r="D766" t="str">
        <x:v>2024-06-23</x:v>
      </x:c>
      <x:c r="E766" t="str">
        <x:v>2024-06-24</x:v>
      </x:c>
      <x:c r="F766" t="str">
        <x:v>U400-DEETHANIZER-500</x:v>
      </x:c>
      <x:c r="G766" t="str">
        <x:v>LV-502</x:v>
      </x:c>
      <x:c r="H766" t="str">
        <x:v>bottoms level valve</x:v>
      </x:c>
      <x:c r="I766" t="str">
        <x:v>control_valve</x:v>
      </x:c>
      <x:c r="J766" t="str">
        <x:v>P2</x:v>
      </x:c>
      <x:c r="K766" t="str">
        <x:v>TECO</x:v>
      </x:c>
      <x:c r="L766" t="str">
        <x:v>OPS+MECH</x:v>
      </x:c>
      <x:c r="M766" t="str">
        <x:v>pressure_control_fault</x:v>
      </x:c>
      <x:c r="N766" t="str">
        <x:v>passing</x:v>
      </x:c>
      <x:c r="O766" t="str">
        <x:v>LEAK_BY</x:v>
      </x:c>
      <x:c r="P766" t="str">
        <x:v>SEAT</x:v>
      </x:c>
      <x:c r="Q766" t="str">
        <x:v>Y</x:v>
      </x:c>
      <x:c r="R766" t="str">
        <x:v>11.8</x:v>
      </x:c>
      <x:c r="S766" t="str">
        <x:v>1585.04</x:v>
      </x:c>
      <x:c r="T766" t="str">
        <x:v>LV-502 passing noisy</x:v>
      </x:c>
      <x:c r="U766" t="str">
        <x:v>days called for LV-502 bottoms level valve, pv not movng seen during pressure ctrl fault. Foud passing; seat leak by. reset trip and monitored for 2 hrs. unit stable now. notif made by ops, maint attended same shift.</x:v>
      </x:c>
    </x:row>
    <x:row r="767" ht="15" hidden="0" customHeight="1">
      <x:c r="A767" t="str">
        <x:v>10450766</x:v>
      </x:c>
      <x:c r="B767" t="str">
        <x:v>40870766</x:v>
      </x:c>
      <x:c r="C767" t="str">
        <x:v>2024-06-24</x:v>
      </x:c>
      <x:c r="D767" t="str">
        <x:v>2024-06-26</x:v>
      </x:c>
      <x:c r="E767" t="str">
        <x:v>2024-06-27</x:v>
      </x:c>
      <x:c r="F767" t="str">
        <x:v>U400-DEETHANIZER-500</x:v>
      </x:c>
      <x:c r="G767" t="str">
        <x:v>LT-501</x:v>
      </x:c>
      <x:c r="H767" t="str">
        <x:v>reflux drum level tx</x:v>
      </x:c>
      <x:c r="I767" t="str">
        <x:v>instrument</x:v>
      </x:c>
      <x:c r="J767" t="str">
        <x:v>P4</x:v>
      </x:c>
      <x:c r="K767" t="str">
        <x:v>CLSD</x:v>
      </x:c>
      <x:c r="L767" t="str">
        <x:v>ANLYZR</x:v>
      </x:c>
      <x:c r="M767" t="str">
        <x:v>feed_flow_step</x:v>
      </x:c>
      <x:c r="N767" t="str">
        <x:v>range err</x:v>
      </x:c>
      <x:c r="O767" t="str">
        <x:v>SPAN</x:v>
      </x:c>
      <x:c r="P767" t="str">
        <x:v>CAL</x:v>
      </x:c>
      <x:c r="Q767" t="str">
        <x:v>N</x:v>
      </x:c>
      <x:c r="R767" t="str">
        <x:v>15.7</x:v>
      </x:c>
      <x:c r="S767" t="str">
        <x:v>5226.73</x:v>
      </x:c>
      <x:c r="T767" t="str">
        <x:v>LT-501 range err temp fix</x:v>
      </x:c>
      <x:c r="U767" t="str">
        <x:v>A shift called for LT-501 reflux drum level tx, column dp high seen during feed flow step. Foud range err; span shifted. replaced positioner tubing and retuned small. temp repair only, plan shutdown job. notif made by ops, maint attended same shift.</x:v>
      </x:c>
    </x:row>
    <x:row r="768" ht="15" hidden="0" customHeight="1">
      <x:c r="A768" t="str">
        <x:v>10450767</x:v>
      </x:c>
      <x:c r="B768" t="str">
        <x:v>40870767</x:v>
      </x:c>
      <x:c r="C768" t="str">
        <x:v>2024-06-24</x:v>
      </x:c>
      <x:c r="D768" t="str">
        <x:v>2024-06-26</x:v>
      </x:c>
      <x:c r="E768" t="str">
        <x:v>2024-07-03</x:v>
      </x:c>
      <x:c r="F768" t="str">
        <x:v>U400-DEETHANIZER-500</x:v>
      </x:c>
      <x:c r="G768" t="str">
        <x:v>LV-501</x:v>
      </x:c>
      <x:c r="H768" t="str">
        <x:v>reflux drum level valve</x:v>
      </x:c>
      <x:c r="I768" t="str">
        <x:v>control_valve</x:v>
      </x:c>
      <x:c r="J768" t="str">
        <x:v>P3</x:v>
      </x:c>
      <x:c r="K768" t="str">
        <x:v>CLSD</x:v>
      </x:c>
      <x:c r="L768" t="str">
        <x:v>INST</x:v>
      </x:c>
      <x:c r="M768" t="str">
        <x:v>reboiler_duty_loss</x:v>
      </x:c>
      <x:c r="N768" t="str">
        <x:v>passing</x:v>
      </x:c>
      <x:c r="O768" t="str">
        <x:v>LEAK_BY</x:v>
      </x:c>
      <x:c r="P768" t="str">
        <x:v>SEAT</x:v>
      </x:c>
      <x:c r="Q768" t="str">
        <x:v>N</x:v>
      </x:c>
      <x:c r="R768" t="str">
        <x:v>8.6</x:v>
      </x:c>
      <x:c r="S768" t="str">
        <x:v>683.21</x:v>
      </x:c>
      <x:c r="T768" t="str">
        <x:v>LV-501 passing temp fix</x:v>
      </x:c>
      <x:c r="U768" t="str">
        <x:v>B shift called for LV-501 reflux drum level valve, c2 in btm seen during rebiler duty loss. Foud passing; seat leak by. Tag plate dirty, confirmd by line up with panel. cleaned and put back online. need watch next feed swing. notif made by ops, maint attended same shift.</x:v>
      </x:c>
    </x:row>
    <x:row r="769" ht="15" hidden="0" customHeight="1">
      <x:c r="A769" t="str">
        <x:v>10450768</x:v>
      </x:c>
      <x:c r="B769" t="str">
        <x:v>40870768</x:v>
      </x:c>
      <x:c r="C769" t="str">
        <x:v>2024-06-26</x:v>
      </x:c>
      <x:c r="D769" t="str">
        <x:v>2024-06-27</x:v>
      </x:c>
      <x:c r="E769" t="str">
        <x:v>2024-06-28</x:v>
      </x:c>
      <x:c r="F769" t="str">
        <x:v>U400-DEETHANIZER-500</x:v>
      </x:c>
      <x:c r="G769" t="str">
        <x:v>E-501</x:v>
      </x:c>
      <x:c r="H769" t="str">
        <x:v>deethanizer reboiler</x:v>
      </x:c>
      <x:c r="I769" t="str">
        <x:v>reboiler</x:v>
      </x:c>
      <x:c r="J769" t="str">
        <x:v>P4</x:v>
      </x:c>
      <x:c r="K769" t="str">
        <x:v>COMP</x:v>
      </x:c>
      <x:c r="L769" t="str">
        <x:v>INST</x:v>
      </x:c>
      <x:c r="M769" t="str">
        <x:v>reboiler_duty_loss</x:v>
      </x:c>
      <x:c r="N769" t="str">
        <x:v>fouled bundle</x:v>
      </x:c>
      <x:c r="O769" t="str">
        <x:v>FOULING</x:v>
      </x:c>
      <x:c r="P769" t="str">
        <x:v>PROCESS</x:v>
      </x:c>
      <x:c r="Q769" t="str">
        <x:v>N</x:v>
      </x:c>
      <x:c r="R769" t="str">
        <x:v>16.7</x:v>
      </x:c>
      <x:c r="S769" t="str">
        <x:v>4209.36</x:v>
      </x:c>
      <x:c r="T769" t="str">
        <x:v>E-501 fouled bundle again</x:v>
      </x:c>
      <x:c r="U769" t="str">
        <x:v>night called for E-501 deethanizer rebiler, rb circ cold seen during rebiler duty loss. Foud fouled bundle; bottoms side dirty. replaced positioner tubing and retuned small. no leak at handover. notif made by ops, maint attended same shift.</x:v>
      </x:c>
    </x:row>
    <x:row r="770" ht="15" hidden="0" customHeight="1">
      <x:c r="A770" t="str">
        <x:v>10450769</x:v>
      </x:c>
      <x:c r="B770" t="str">
        <x:v>40870769</x:v>
      </x:c>
      <x:c r="C770" t="str">
        <x:v>2024-06-29</x:v>
      </x:c>
      <x:c r="D770" t="str">
        <x:v>2024-06-29</x:v>
      </x:c>
      <x:c r="E770" t="str">
        <x:v>2024-06-30</x:v>
      </x:c>
      <x:c r="F770" t="str">
        <x:v>U400-DEETHANIZER-500</x:v>
      </x:c>
      <x:c r="G770" t="str">
        <x:v>TV-501</x:v>
      </x:c>
      <x:c r="H770" t="str">
        <x:v>reboiler hot medium valve</x:v>
      </x:c>
      <x:c r="I770" t="str">
        <x:v>control_valve</x:v>
      </x:c>
      <x:c r="J770" t="str">
        <x:v>P3</x:v>
      </x:c>
      <x:c r="K770" t="str">
        <x:v>TECO</x:v>
      </x:c>
      <x:c r="L770" t="str">
        <x:v>INST</x:v>
      </x:c>
      <x:c r="M770" t="str">
        <x:v>normal_wear</x:v>
      </x:c>
      <x:c r="N770" t="str">
        <x:v>hunting loop</x:v>
      </x:c>
      <x:c r="O770" t="str">
        <x:v>CTRL_OSC</x:v>
      </x:c>
      <x:c r="P770" t="str">
        <x:v>TUNE</x:v>
      </x:c>
      <x:c r="Q770" t="str">
        <x:v>N</x:v>
      </x:c>
      <x:c r="R770" t="str">
        <x:v>17.6</x:v>
      </x:c>
      <x:c r="S770" t="str">
        <x:v>4300.13</x:v>
      </x:c>
      <x:c r="T770" t="str">
        <x:v>TV-501 not ok after normal wear</x:v>
      </x:c>
      <x:c r="U770" t="str">
        <x:v>A shift called for TV-501 rebiler hot medium valve, plugged impulse seen during normal wear. Foud hunting loop; bad response after upset. tightened fittings, leak test ok. need watch next feed swing. notif made by ops, maint attended same shift.</x:v>
      </x:c>
    </x:row>
    <x:row r="771" ht="15" hidden="0" customHeight="1">
      <x:c r="A771" t="str">
        <x:v>10450770</x:v>
      </x:c>
      <x:c r="B771" t="str">
        <x:v>40870770</x:v>
      </x:c>
      <x:c r="C771" t="str">
        <x:v>2024-06-27</x:v>
      </x:c>
      <x:c r="D771" t="str">
        <x:v>2024-06-29</x:v>
      </x:c>
      <x:c r="E771" t="str">
        <x:v>2024-06-30</x:v>
      </x:c>
      <x:c r="F771" t="str">
        <x:v>U400-DEETHANIZER-500</x:v>
      </x:c>
      <x:c r="G771" t="str">
        <x:v>AIT-502</x:v>
      </x:c>
      <x:c r="H771" t="str">
        <x:v>bottoms C3+ analyzer</x:v>
      </x:c>
      <x:c r="I771" t="str">
        <x:v>analyzer</x:v>
      </x:c>
      <x:c r="J771" t="str">
        <x:v>P2</x:v>
      </x:c>
      <x:c r="K771" t="str">
        <x:v>TECO</x:v>
      </x:c>
      <x:c r="L771" t="str">
        <x:v>OPS+INST</x:v>
      </x:c>
      <x:c r="M771" t="str">
        <x:v>feed_composition_shift</x:v>
      </x:c>
      <x:c r="N771" t="str">
        <x:v>anlyzr drift</x:v>
      </x:c>
      <x:c r="O771" t="str">
        <x:v>DRIFT</x:v>
      </x:c>
      <x:c r="P771" t="str">
        <x:v>CAL_GAS</x:v>
      </x:c>
      <x:c r="Q771" t="str">
        <x:v>N</x:v>
      </x:c>
      <x:c r="R771" t="str">
        <x:v>17.1</x:v>
      </x:c>
      <x:c r="S771" t="str">
        <x:v>4838.09</x:v>
      </x:c>
      <x:c r="T771" t="str">
        <x:v>AIT-502 anlyzr drift again, prod upset</x:v>
      </x:c>
      <x:c r="U771" t="str">
        <x:v>night called for AIT-502 bottoms C3+ analyzer, c3 in feed hi seen during feed composition shift. Foud anlyzr drift; cal gas failed. replaced positioner tubing and retuned small. unit stable now. notif made by ops, maint attended same shift.</x:v>
      </x:c>
    </x:row>
    <x:row r="772" ht="15" hidden="0" customHeight="1">
      <x:c r="A772" t="str">
        <x:v>10450771</x:v>
      </x:c>
      <x:c r="B772" t="str">
        <x:v>40870771</x:v>
      </x:c>
      <x:c r="C772" t="str">
        <x:v>2024-07-01</x:v>
      </x:c>
      <x:c r="D772" t="str">
        <x:v>2024-07-02</x:v>
      </x:c>
      <x:c r="E772" t="str">
        <x:v>2024-07-02</x:v>
      </x:c>
      <x:c r="F772" t="str">
        <x:v>U400-DEETHANIZER-500</x:v>
      </x:c>
      <x:c r="G772" t="str">
        <x:v>E-503</x:v>
      </x:c>
      <x:c r="H772" t="str">
        <x:v>feed bottoms exchanger</x:v>
      </x:c>
      <x:c r="I772" t="str">
        <x:v>exchanger</x:v>
      </x:c>
      <x:c r="J772" t="str">
        <x:v>P3</x:v>
      </x:c>
      <x:c r="K772" t="str">
        <x:v>TECO</x:v>
      </x:c>
      <x:c r="L772" t="str">
        <x:v>VALVE</x:v>
      </x:c>
      <x:c r="M772" t="str">
        <x:v>feed_composition_shift</x:v>
      </x:c>
      <x:c r="N772" t="str">
        <x:v>tube fouling</x:v>
      </x:c>
      <x:c r="O772" t="str">
        <x:v>FOULING</x:v>
      </x:c>
      <x:c r="P772" t="str">
        <x:v>PROCESS</x:v>
      </x:c>
      <x:c r="Q772" t="str">
        <x:v>N</x:v>
      </x:c>
      <x:c r="R772" t="str">
        <x:v>16.1</x:v>
      </x:c>
      <x:c r="S772" t="str">
        <x:v>10245.11</x:v>
      </x:c>
      <x:c r="T772" t="str">
        <x:v>E-503 anlyzr off, tube fouling</x:v>
      </x:c>
      <x:c r="U772" t="str">
        <x:v>C shift called for E-503 feed bottoms exchanger, c3 in feed hi seen during feed composition shift. Foud tube fouling; duty low, delta t poor. Could not get permit first time waiting area gas test. flushed impulse/sample line. still little hunting but acceptable. notif made by ops, maint attended same shift.</x:v>
      </x:c>
    </x:row>
    <x:row r="773" ht="15" hidden="0" customHeight="1">
      <x:c r="A773" t="str">
        <x:v>10450772</x:v>
      </x:c>
      <x:c r="B773" t="str">
        <x:v>40870772</x:v>
      </x:c>
      <x:c r="C773" t="str">
        <x:v>2024-07-02</x:v>
      </x:c>
      <x:c r="D773" t="str">
        <x:v>2024-07-02</x:v>
      </x:c>
      <x:c r="E773" t="str">
        <x:v>2024-07-03</x:v>
      </x:c>
      <x:c r="F773" t="str">
        <x:v>U400-DEETHANIZER-500</x:v>
      </x:c>
      <x:c r="G773" t="str">
        <x:v>E-503</x:v>
      </x:c>
      <x:c r="H773" t="str">
        <x:v>feed bottoms exchanger</x:v>
      </x:c>
      <x:c r="I773" t="str">
        <x:v>exchanger</x:v>
      </x:c>
      <x:c r="J773" t="str">
        <x:v>P3</x:v>
      </x:c>
      <x:c r="K773" t="str">
        <x:v>TECO</x:v>
      </x:c>
      <x:c r="L773" t="str">
        <x:v>MECH</x:v>
      </x:c>
      <x:c r="M773" t="str">
        <x:v>feed_flow_step</x:v>
      </x:c>
      <x:c r="N773" t="str">
        <x:v>plugged pass</x:v>
      </x:c>
      <x:c r="O773" t="str">
        <x:v>PLUG</x:v>
      </x:c>
      <x:c r="P773" t="str">
        <x:v>FOUL</x:v>
      </x:c>
      <x:c r="Q773" t="str">
        <x:v>N</x:v>
      </x:c>
      <x:c r="R773" t="str">
        <x:v>5.7</x:v>
      </x:c>
      <x:c r="S773" t="str">
        <x:v>4643.19</x:v>
      </x:c>
      <x:c r="T773" t="str">
        <x:v>chk E-503 - plugged pass frm ops</x:v>
      </x:c>
      <x:c r="U773" t="str">
        <x:v>days called for E-503 feed bottoms exchanger, lvl swing seen during feed flow step. Foud plugged pass; flow restricted. No spare in store at first, used refurb one from shop. tightened fittings, leak test ok. still little hunting but acceptable. notif made by ops, maint attended same shift.</x:v>
      </x:c>
    </x:row>
    <x:row r="774" ht="15" hidden="0" customHeight="1">
      <x:c r="A774" t="str">
        <x:v>10450773</x:v>
      </x:c>
      <x:c r="B774" t="str">
        <x:v>40870773</x:v>
      </x:c>
      <x:c r="C774" t="str">
        <x:v>2024-07-06</x:v>
      </x:c>
      <x:c r="D774" t="str">
        <x:v>2024-07-06</x:v>
      </x:c>
      <x:c r="E774" t="str">
        <x:v>2024-07-06</x:v>
      </x:c>
      <x:c r="F774" t="str">
        <x:v>U400-DEETHANIZER-500</x:v>
      </x:c>
      <x:c r="G774" t="str">
        <x:v>PT-501</x:v>
      </x:c>
      <x:c r="H774" t="str">
        <x:v>column overhead pressure tx</x:v>
      </x:c>
      <x:c r="I774" t="str">
        <x:v>instrument</x:v>
      </x:c>
      <x:c r="J774" t="str">
        <x:v>P3</x:v>
      </x:c>
      <x:c r="K774" t="str">
        <x:v>CLSD</x:v>
      </x:c>
      <x:c r="L774" t="str">
        <x:v>ANLYZR</x:v>
      </x:c>
      <x:c r="M774" t="str">
        <x:v>valve_stiction</x:v>
      </x:c>
      <x:c r="N774" t="str">
        <x:v>impulse plugged</x:v>
      </x:c>
      <x:c r="O774" t="str">
        <x:v>PLUG</x:v>
      </x:c>
      <x:c r="P774" t="str">
        <x:v>PROCESS</x:v>
      </x:c>
      <x:c r="Q774" t="str">
        <x:v>N</x:v>
      </x:c>
      <x:c r="R774" t="str">
        <x:v>16.9</x:v>
      </x:c>
      <x:c r="S774" t="str">
        <x:v>174.87</x:v>
      </x:c>
      <x:c r="T774" t="str">
        <x:v>PT-501 not ok after valve stiction</x:v>
      </x:c>
      <x:c r="U774" t="str">
        <x:v>B shift called for PT-501 column overhead pressure tx, op jumps seen during valve stiction. Foud impulse plugged; tap/line dirty. reset trip and monitored for 2 hrs. temp repair only, plan shutdown job. notif made by ops, maint attended same shift.</x:v>
      </x:c>
    </x:row>
    <x:row r="775" ht="15" hidden="0" customHeight="1">
      <x:c r="A775" t="str">
        <x:v>10450774</x:v>
      </x:c>
      <x:c r="B775" t="str">
        <x:v>40870774</x:v>
      </x:c>
      <x:c r="C775" t="str">
        <x:v>2024-07-08</x:v>
      </x:c>
      <x:c r="D775" t="str">
        <x:v>2024-07-09</x:v>
      </x:c>
      <x:c r="E775" t="str">
        <x:v>2024-07-11</x:v>
      </x:c>
      <x:c r="F775" t="str">
        <x:v>U400-DEETHANIZER-500</x:v>
      </x:c>
      <x:c r="G775" t="str">
        <x:v>E-501</x:v>
      </x:c>
      <x:c r="H775" t="str">
        <x:v>deethanizer reboiler</x:v>
      </x:c>
      <x:c r="I775" t="str">
        <x:v>reboiler</x:v>
      </x:c>
      <x:c r="J775" t="str">
        <x:v>P4</x:v>
      </x:c>
      <x:c r="K775" t="str">
        <x:v>COMP</x:v>
      </x:c>
      <x:c r="L775" t="str">
        <x:v>E&amp;I</x:v>
      </x:c>
      <x:c r="M775" t="str">
        <x:v>feed_temperature_ramp</x:v>
      </x:c>
      <x:c r="N775" t="str">
        <x:v>circ poor</x:v>
      </x:c>
      <x:c r="O775" t="str">
        <x:v>NO_FLOW</x:v>
      </x:c>
      <x:c r="P775" t="str">
        <x:v>PLUG</x:v>
      </x:c>
      <x:c r="Q775" t="str">
        <x:v>N</x:v>
      </x:c>
      <x:c r="R775" t="str">
        <x:v>5.2</x:v>
      </x:c>
      <x:c r="S775" t="str">
        <x:v>12561.97</x:v>
      </x:c>
      <x:c r="T775" t="str">
        <x:v>E-501 circ poor after upset</x:v>
      </x:c>
      <x:c r="U775" t="str">
        <x:v>days called for E-501 deethanizer reboiler, rb duty up seen during feed temperature ramp. Foud circ poor; blocked inlet screen. Line was hot so job done slow and with ops standing by. stroke tested, response better. unit stable now. notif made by ops, maint attended same shift.</x:v>
      </x:c>
    </x:row>
    <x:row r="776" ht="15" hidden="0" customHeight="1">
      <x:c r="A776" t="str">
        <x:v>10450775</x:v>
      </x:c>
      <x:c r="B776" t="str">
        <x:v>40870775</x:v>
      </x:c>
      <x:c r="C776" t="str">
        <x:v>2024-07-05</x:v>
      </x:c>
      <x:c r="D776" t="str">
        <x:v>2024-07-05</x:v>
      </x:c>
      <x:c r="E776" t="str">
        <x:v>2024-07-07</x:v>
      </x:c>
      <x:c r="F776" t="str">
        <x:v>U400-DEETHANIZER-500</x:v>
      </x:c>
      <x:c r="G776" t="str">
        <x:v>FV-502</x:v>
      </x:c>
      <x:c r="H776" t="str">
        <x:v>reflux flow control valve</x:v>
      </x:c>
      <x:c r="I776" t="str">
        <x:v>control_valve</x:v>
      </x:c>
      <x:c r="J776" t="str">
        <x:v>P3</x:v>
      </x:c>
      <x:c r="K776" t="str">
        <x:v>TECO</x:v>
      </x:c>
      <x:c r="L776" t="str">
        <x:v>INST</x:v>
      </x:c>
      <x:c r="M776" t="str">
        <x:v>valve_stiction</x:v>
      </x:c>
      <x:c r="N776" t="str">
        <x:v>air leak</x:v>
      </x:c>
      <x:c r="O776" t="str">
        <x:v>AIR_LEAK</x:v>
      </x:c>
      <x:c r="P776" t="str">
        <x:v>TUBING</x:v>
      </x:c>
      <x:c r="Q776" t="str">
        <x:v>N</x:v>
      </x:c>
      <x:c r="R776" t="str">
        <x:v>11.6</x:v>
      </x:c>
      <x:c r="S776" t="str">
        <x:v>2947.84</x:v>
      </x:c>
      <x:c r="T776" t="str">
        <x:v>chk FV-502 - air leak frm ops</x:v>
      </x:c>
      <x:c r="U776" t="str">
        <x:v>B shift called for FV-502 reflux flow control valve, position bad seen during valve stiction. Foud air leak; positioner supply drop. Could not get permit first time waiting area gas test. calibrated, loop checked with CCR. no leak at handover. notif made by ops, maint attended same shift.</x:v>
      </x:c>
    </x:row>
    <x:row r="777" ht="15" hidden="0" customHeight="1">
      <x:c r="A777" t="str">
        <x:v>10450776</x:v>
      </x:c>
      <x:c r="B777" t="str">
        <x:v>40870776</x:v>
      </x:c>
      <x:c r="C777" t="str">
        <x:v>2024-07-10</x:v>
      </x:c>
      <x:c r="D777" t="str">
        <x:v>2024-07-12</x:v>
      </x:c>
      <x:c r="E777" t="str">
        <x:v>2024-07-13</x:v>
      </x:c>
      <x:c r="F777" t="str">
        <x:v>U400-DEETHANIZER-500</x:v>
      </x:c>
      <x:c r="G777" t="str">
        <x:v>PV-501</x:v>
      </x:c>
      <x:c r="H777" t="str">
        <x:v>column pressure control valve</x:v>
      </x:c>
      <x:c r="I777" t="str">
        <x:v>control_valve</x:v>
      </x:c>
      <x:c r="J777" t="str">
        <x:v>P3</x:v>
      </x:c>
      <x:c r="K777" t="str">
        <x:v>TECO</x:v>
      </x:c>
      <x:c r="L777" t="str">
        <x:v>INST</x:v>
      </x:c>
      <x:c r="M777" t="str">
        <x:v>condenser_fouling</x:v>
      </x:c>
      <x:c r="N777" t="str">
        <x:v>air leak</x:v>
      </x:c>
      <x:c r="O777" t="str">
        <x:v>AIR_LEAK</x:v>
      </x:c>
      <x:c r="P777" t="str">
        <x:v>TUBING</x:v>
      </x:c>
      <x:c r="Q777" t="str">
        <x:v>N</x:v>
      </x:c>
      <x:c r="R777" t="str">
        <x:v>18.0</x:v>
      </x:c>
      <x:c r="S777" t="str">
        <x:v>2795.18</x:v>
      </x:c>
      <x:c r="T777" t="str">
        <x:v>PV-501 air leak again, prod upset</x:v>
      </x:c>
      <x:c r="U777" t="str">
        <x:v>night called for PV-501 column pressure control valve, pic wide open seen during condenser fouling. Foud air leak; positioner supply drop. reset trip and monitored for 2 hrs. unit stable now. notif made by ops, maint attended same shift.</x:v>
      </x:c>
    </x:row>
    <x:row r="778" ht="15" hidden="0" customHeight="1">
      <x:c r="A778" t="str">
        <x:v>10450777</x:v>
      </x:c>
      <x:c r="B778" t="str">
        <x:v>40870777</x:v>
      </x:c>
      <x:c r="C778" t="str">
        <x:v>2024-07-07</x:v>
      </x:c>
      <x:c r="D778" t="str">
        <x:v>2024-07-07</x:v>
      </x:c>
      <x:c r="E778" t="str">
        <x:v>2024-07-07</x:v>
      </x:c>
      <x:c r="F778" t="str">
        <x:v>U400-DEETHANIZER-500</x:v>
      </x:c>
      <x:c r="G778" t="str">
        <x:v>TT-501B</x:v>
      </x:c>
      <x:c r="H778" t="str">
        <x:v>sensitive tray temperature tx</x:v>
      </x:c>
      <x:c r="I778" t="str">
        <x:v>instrument</x:v>
      </x:c>
      <x:c r="J778" t="str">
        <x:v>P4</x:v>
      </x:c>
      <x:c r="K778" t="str">
        <x:v>COMP</x:v>
      </x:c>
      <x:c r="L778" t="str">
        <x:v>INST</x:v>
      </x:c>
      <x:c r="M778" t="str">
        <x:v>feed_temperature_ramp</x:v>
      </x:c>
      <x:c r="N778" t="str">
        <x:v>impulse plugged</x:v>
      </x:c>
      <x:c r="O778" t="str">
        <x:v>PLUG</x:v>
      </x:c>
      <x:c r="P778" t="str">
        <x:v>PROCESS</x:v>
      </x:c>
      <x:c r="Q778" t="str">
        <x:v>N</x:v>
      </x:c>
      <x:c r="R778" t="str">
        <x:v>12.0</x:v>
      </x:c>
      <x:c r="S778" t="str">
        <x:v>6019.14</x:v>
      </x:c>
      <x:c r="T778" t="str">
        <x:v>TT-501B spec off, impulse plugged</x:v>
      </x:c>
      <x:c r="U778" t="str">
        <x:v>B shift called for TT-501B sensitive tray temperature tx, rb duty up seen during feed temperature ramp. Foud impulse plugged; tap/line dirty. Tag plate dirty, confirmd by line up with panel. calibrated, loop checked with CCR. unit stable now. notif made by ops, maint attended same shift.</x:v>
      </x:c>
    </x:row>
    <x:row r="779" ht="15" hidden="0" customHeight="1">
      <x:c r="A779" t="str">
        <x:v>10450778</x:v>
      </x:c>
      <x:c r="B779" t="str">
        <x:v>40870778</x:v>
      </x:c>
      <x:c r="C779" t="str">
        <x:v>2024-07-10</x:v>
      </x:c>
      <x:c r="D779" t="str">
        <x:v>2024-07-11</x:v>
      </x:c>
      <x:c r="E779" t="str">
        <x:v>2024-07-12</x:v>
      </x:c>
      <x:c r="F779" t="str">
        <x:v>U400-DEETHANIZER-500</x:v>
      </x:c>
      <x:c r="G779" t="str">
        <x:v>PT-501</x:v>
      </x:c>
      <x:c r="H779" t="str">
        <x:v>column overhead pressure tx</x:v>
      </x:c>
      <x:c r="I779" t="str">
        <x:v>instrument</x:v>
      </x:c>
      <x:c r="J779" t="str">
        <x:v>P2</x:v>
      </x:c>
      <x:c r="K779" t="str">
        <x:v>COMP</x:v>
      </x:c>
      <x:c r="L779" t="str">
        <x:v>E&amp;I</x:v>
      </x:c>
      <x:c r="M779" t="str">
        <x:v>pressure_control_fault</x:v>
      </x:c>
      <x:c r="N779" t="str">
        <x:v>range err</x:v>
      </x:c>
      <x:c r="O779" t="str">
        <x:v>SPAN</x:v>
      </x:c>
      <x:c r="P779" t="str">
        <x:v>CAL</x:v>
      </x:c>
      <x:c r="Q779" t="str">
        <x:v>N</x:v>
      </x:c>
      <x:c r="R779" t="str">
        <x:v>4.7</x:v>
      </x:c>
      <x:c r="S779" t="str">
        <x:v>3341.38</x:v>
      </x:c>
      <x:c r="T779" t="str">
        <x:v>PT-501 flare vavle chekd, range err</x:v>
      </x:c>
      <x:c r="U779" t="str">
        <x:v>night called for PT-501 column overhead pressure tx, pv not movng seen during pressure control fault. Foud range err; span shifted. opened strainer, cleaned black sludge. ops says ok for now. notif made by ops, maint attended same shift.</x:v>
      </x:c>
    </x:row>
    <x:row r="780" ht="15" hidden="0" customHeight="1">
      <x:c r="A780" t="str">
        <x:v>10450779</x:v>
      </x:c>
      <x:c r="B780" t="str">
        <x:v>40870779</x:v>
      </x:c>
      <x:c r="C780" t="str">
        <x:v>2024-07-15</x:v>
      </x:c>
      <x:c r="D780" t="str">
        <x:v>2024-07-15</x:v>
      </x:c>
      <x:c r="E780" t="str">
        <x:v>2024-07-18</x:v>
      </x:c>
      <x:c r="F780" t="str">
        <x:v>U400-DEETHANIZER-500</x:v>
      </x:c>
      <x:c r="G780" t="str">
        <x:v>LV-501</x:v>
      </x:c>
      <x:c r="H780" t="str">
        <x:v>reflux drum level valve</x:v>
      </x:c>
      <x:c r="I780" t="str">
        <x:v>control_valve</x:v>
      </x:c>
      <x:c r="J780" t="str">
        <x:v>P4</x:v>
      </x:c>
      <x:c r="K780" t="str">
        <x:v>COMP</x:v>
      </x:c>
      <x:c r="L780" t="str">
        <x:v>OPS+MECH</x:v>
      </x:c>
      <x:c r="M780" t="str">
        <x:v>pressure_control_fault</x:v>
      </x:c>
      <x:c r="N780" t="str">
        <x:v>air leak</x:v>
      </x:c>
      <x:c r="O780" t="str">
        <x:v>AIR_LEAK</x:v>
      </x:c>
      <x:c r="P780" t="str">
        <x:v>TUBING</x:v>
      </x:c>
      <x:c r="Q780" t="str">
        <x:v>N</x:v>
      </x:c>
      <x:c r="R780" t="str">
        <x:v>15.6</x:v>
      </x:c>
      <x:c r="S780" t="str">
        <x:v>3468.36</x:v>
      </x:c>
      <x:c r="T780" t="str">
        <x:v>LV-501 pv not movng, air leak</x:v>
      </x:c>
      <x:c r="U780" t="str">
        <x:v>days called for LV-501 reflux drum level valve, flare valve checked seen during pressure control fault. Foud air leak; positioner supply drop. calibrated, loop checked with CCR. need watch next feed swing. notif made by ops, maint attended same shift.</x:v>
      </x:c>
    </x:row>
    <x:row r="781" ht="15" hidden="0" customHeight="1">
      <x:c r="A781" t="str">
        <x:v>10450780</x:v>
      </x:c>
      <x:c r="B781" t="str">
        <x:v>40870780</x:v>
      </x:c>
      <x:c r="C781" t="str">
        <x:v>2024-07-16</x:v>
      </x:c>
      <x:c r="D781" t="str">
        <x:v>2024-07-16</x:v>
      </x:c>
      <x:c r="E781" t="str">
        <x:v>2024-07-18</x:v>
      </x:c>
      <x:c r="F781" t="str">
        <x:v>U400-DEETHANIZER-500</x:v>
      </x:c>
      <x:c r="G781" t="str">
        <x:v>FT-502</x:v>
      </x:c>
      <x:c r="H781" t="str">
        <x:v>reflux flow transmitter</x:v>
      </x:c>
      <x:c r="I781" t="str">
        <x:v>instrument</x:v>
      </x:c>
      <x:c r="J781" t="str">
        <x:v>P2</x:v>
      </x:c>
      <x:c r="K781" t="str">
        <x:v>CLSD</x:v>
      </x:c>
      <x:c r="L781" t="str">
        <x:v>E&amp;I</x:v>
      </x:c>
      <x:c r="M781" t="str">
        <x:v>reflux_pump_degradation</x:v>
      </x:c>
      <x:c r="N781" t="str">
        <x:v>impulse plugged</x:v>
      </x:c>
      <x:c r="O781" t="str">
        <x:v>PLUG</x:v>
      </x:c>
      <x:c r="P781" t="str">
        <x:v>PROCESS</x:v>
      </x:c>
      <x:c r="Q781" t="str">
        <x:v>Y</x:v>
      </x:c>
      <x:c r="R781" t="str">
        <x:v>11.7</x:v>
      </x:c>
      <x:c r="S781" t="str">
        <x:v>1830.34</x:v>
      </x:c>
      <x:c r="T781" t="str">
        <x:v>FT-502 impulse plugged again, prod upset</x:v>
      </x:c>
      <x:c r="U781" t="str">
        <x:v>C shift called for FT-502 reflux flow transmitter, low reflux seen during reflux pump degradation. Foud impulse plugged; tap/line dirty. tightened fittings, leak test ok. ops says ok for now. notif made by ops, maint attended same shift.</x:v>
      </x:c>
    </x:row>
    <x:row r="782" ht="15" hidden="0" customHeight="1">
      <x:c r="A782" t="str">
        <x:v>10450781</x:v>
      </x:c>
      <x:c r="B782" t="str">
        <x:v>40870781</x:v>
      </x:c>
      <x:c r="C782" t="str">
        <x:v>2024-07-14</x:v>
      </x:c>
      <x:c r="D782" t="str">
        <x:v>2024-07-14</x:v>
      </x:c>
      <x:c r="E782" t="str">
        <x:v>2024-07-15</x:v>
      </x:c>
      <x:c r="F782" t="str">
        <x:v>U400-DEETHANIZER-500</x:v>
      </x:c>
      <x:c r="G782" t="str">
        <x:v>PV-501</x:v>
      </x:c>
      <x:c r="H782" t="str">
        <x:v>column pressure control valve</x:v>
      </x:c>
      <x:c r="I782" t="str">
        <x:v>control_valve</x:v>
      </x:c>
      <x:c r="J782" t="str">
        <x:v>P3</x:v>
      </x:c>
      <x:c r="K782" t="str">
        <x:v>TECO</x:v>
      </x:c>
      <x:c r="L782" t="str">
        <x:v>VALVE</x:v>
      </x:c>
      <x:c r="M782" t="str">
        <x:v>valve_stiction</x:v>
      </x:c>
      <x:c r="N782" t="str">
        <x:v>not stroking</x:v>
      </x:c>
      <x:c r="O782" t="str">
        <x:v>NO_TRAVEL</x:v>
      </x:c>
      <x:c r="P782" t="str">
        <x:v>ACT</x:v>
      </x:c>
      <x:c r="Q782" t="str">
        <x:v>N</x:v>
      </x:c>
      <x:c r="R782" t="str">
        <x:v>14.5</x:v>
      </x:c>
      <x:c r="S782" t="str">
        <x:v>4771.9</x:v>
      </x:c>
      <x:c r="T782" t="str">
        <x:v>chk PV-501 - not stroking frm ops</x:v>
      </x:c>
      <x:c r="U782" t="str">
        <x:v>A shift called for PV-501 column pressure ctrl valve, loop cycling seen during valve stiction. Foud not stroking; actuator weak. flushed impulse/sample line. need watch next feed swing. notif made by ops, maint attended same shift.</x:v>
      </x:c>
    </x:row>
    <x:row r="783" ht="15" hidden="0" customHeight="1">
      <x:c r="A783" t="str">
        <x:v>10450782</x:v>
      </x:c>
      <x:c r="B783" t="str">
        <x:v>40870782</x:v>
      </x:c>
      <x:c r="C783" t="str">
        <x:v>2024-07-20</x:v>
      </x:c>
      <x:c r="D783" t="str">
        <x:v>2024-07-22</x:v>
      </x:c>
      <x:c r="E783" t="str">
        <x:v>2024-07-24</x:v>
      </x:c>
      <x:c r="F783" t="str">
        <x:v>U400-DEETHANIZER-500</x:v>
      </x:c>
      <x:c r="G783" t="str">
        <x:v>T-501</x:v>
      </x:c>
      <x:c r="H783" t="str">
        <x:v>deethanizer column</x:v>
      </x:c>
      <x:c r="I783" t="str">
        <x:v>column</x:v>
      </x:c>
      <x:c r="J783" t="str">
        <x:v>P4</x:v>
      </x:c>
      <x:c r="K783" t="str">
        <x:v>TECO</x:v>
      </x:c>
      <x:c r="L783" t="str">
        <x:v>OPS+MECH</x:v>
      </x:c>
      <x:c r="M783" t="str">
        <x:v>valve_stiction</x:v>
      </x:c>
      <x:c r="N783" t="str">
        <x:v>tray temp bad</x:v>
      </x:c>
      <x:c r="O783" t="str">
        <x:v>TEMP_DEV</x:v>
      </x:c>
      <x:c r="P783" t="str">
        <x:v>PROCESS</x:v>
      </x:c>
      <x:c r="Q783" t="str">
        <x:v>N</x:v>
      </x:c>
      <x:c r="R783" t="str">
        <x:v>13.8</x:v>
      </x:c>
      <x:c r="S783" t="str">
        <x:v>6085.39</x:v>
      </x:c>
      <x:c r="T783" t="str">
        <x:v>T-501 tray temp bad again, prod upset</x:v>
      </x:c>
      <x:c r="U783" t="str">
        <x:v>A shift called for T-501 deethanizer column, air leak seen during valve stiction. Foud tray temp bad; profile not normal. Could not get permit first time waiting area gas test. stroke tested, response better. unit stable now. notif made by ops, maint attended same shift.</x:v>
      </x:c>
    </x:row>
    <x:row r="784" ht="15" hidden="0" customHeight="1">
      <x:c r="A784" t="str">
        <x:v>10450783</x:v>
      </x:c>
      <x:c r="B784" t="str">
        <x:v>40870783</x:v>
      </x:c>
      <x:c r="C784" t="str">
        <x:v>2024-07-21</x:v>
      </x:c>
      <x:c r="D784" t="str">
        <x:v>2024-07-22</x:v>
      </x:c>
      <x:c r="E784" t="str">
        <x:v>2024-07-23</x:v>
      </x:c>
      <x:c r="F784" t="str">
        <x:v>U400-DEETHANIZER-500</x:v>
      </x:c>
      <x:c r="G784" t="str">
        <x:v>E-503</x:v>
      </x:c>
      <x:c r="H784" t="str">
        <x:v>feed bottoms exchanger</x:v>
      </x:c>
      <x:c r="I784" t="str">
        <x:v>exchanger</x:v>
      </x:c>
      <x:c r="J784" t="str">
        <x:v>P3</x:v>
      </x:c>
      <x:c r="K784" t="str">
        <x:v>COMP</x:v>
      </x:c>
      <x:c r="L784" t="str">
        <x:v>ANLYZR</x:v>
      </x:c>
      <x:c r="M784" t="str">
        <x:v>feed_composition_shift</x:v>
      </x:c>
      <x:c r="N784" t="str">
        <x:v>plugged pass</x:v>
      </x:c>
      <x:c r="O784" t="str">
        <x:v>PLUG</x:v>
      </x:c>
      <x:c r="P784" t="str">
        <x:v>FOUL</x:v>
      </x:c>
      <x:c r="Q784" t="str">
        <x:v>N</x:v>
      </x:c>
      <x:c r="R784" t="str">
        <x:v>14.6</x:v>
      </x:c>
      <x:c r="S784" t="str">
        <x:v>2490.06</x:v>
      </x:c>
      <x:c r="T784" t="str">
        <x:v>E-503 anlyzr off, plugged pass</x:v>
      </x:c>
      <x:c r="U784" t="str">
        <x:v>A shift called for E-503 feed bottoms exchanger, quality bad seen during feed composition shift. Foud plugged pass; flow restricted. Could not get permit first time waiting area gas test. swapped to standby and repaired. readng close to dcs after job. notif made by ops, maint attended same shift.</x:v>
      </x:c>
    </x:row>
    <x:row r="785" ht="15" hidden="0" customHeight="1">
      <x:c r="A785" t="str">
        <x:v>10450784</x:v>
      </x:c>
      <x:c r="B785" t="str">
        <x:v>40870784</x:v>
      </x:c>
      <x:c r="C785" t="str">
        <x:v>2024-07-20</x:v>
      </x:c>
      <x:c r="D785" t="str">
        <x:v>2024-07-22</x:v>
      </x:c>
      <x:c r="E785" t="str">
        <x:v>2024-07-23</x:v>
      </x:c>
      <x:c r="F785" t="str">
        <x:v>U400-DEETHANIZER-500</x:v>
      </x:c>
      <x:c r="G785" t="str">
        <x:v>E-502</x:v>
      </x:c>
      <x:c r="H785" t="str">
        <x:v>deethanizer overhead condenser</x:v>
      </x:c>
      <x:c r="I785" t="str">
        <x:v>condenser</x:v>
      </x:c>
      <x:c r="J785" t="str">
        <x:v>P3</x:v>
      </x:c>
      <x:c r="K785" t="str">
        <x:v>TECO</x:v>
      </x:c>
      <x:c r="L785" t="str">
        <x:v>ANLYZR</x:v>
      </x:c>
      <x:c r="M785" t="str">
        <x:v>pressure_control_fault</x:v>
      </x:c>
      <x:c r="N785" t="str">
        <x:v>tv no travel</x:v>
      </x:c>
      <x:c r="O785" t="str">
        <x:v>VALVE</x:v>
      </x:c>
      <x:c r="P785" t="str">
        <x:v>STICK</x:v>
      </x:c>
      <x:c r="Q785" t="str">
        <x:v>N</x:v>
      </x:c>
      <x:c r="R785" t="str">
        <x:v>6.0</x:v>
      </x:c>
      <x:c r="S785" t="str">
        <x:v>11750.15</x:v>
      </x:c>
      <x:c r="T785" t="str">
        <x:v>E-502 tv no travel again, prod upset</x:v>
      </x:c>
      <x:c r="U785" t="str">
        <x:v>A shift called for E-502 deethanizer overhead condenser, flare vavle checked seen during press control fault. Foud tv no travel; cooling vavle stuck. replaced positioner tubing and retuned small. temp repair only, plan shutdown job. notif made by ops, maint attended same shift.</x:v>
      </x:c>
    </x:row>
    <x:row r="786" ht="15" hidden="0" customHeight="1">
      <x:c r="A786" t="str">
        <x:v>10450785</x:v>
      </x:c>
      <x:c r="B786" t="str">
        <x:v>40870785</x:v>
      </x:c>
      <x:c r="C786" t="str">
        <x:v>2024-07-21</x:v>
      </x:c>
      <x:c r="D786" t="str">
        <x:v>2024-07-22</x:v>
      </x:c>
      <x:c r="E786" t="str">
        <x:v>2024-07-29</x:v>
      </x:c>
      <x:c r="F786" t="str">
        <x:v>U400-DEETHANIZER-500</x:v>
      </x:c>
      <x:c r="G786" t="str">
        <x:v>TT-503</x:v>
      </x:c>
      <x:c r="H786" t="str">
        <x:v>reboiler outlet temperature tx</x:v>
      </x:c>
      <x:c r="I786" t="str">
        <x:v>instrument</x:v>
      </x:c>
      <x:c r="J786" t="str">
        <x:v>P4</x:v>
      </x:c>
      <x:c r="K786" t="str">
        <x:v>COMP</x:v>
      </x:c>
      <x:c r="L786" t="str">
        <x:v>E&amp;I</x:v>
      </x:c>
      <x:c r="M786" t="str">
        <x:v>reboiler_duty_loss</x:v>
      </x:c>
      <x:c r="N786" t="str">
        <x:v>no signal</x:v>
      </x:c>
      <x:c r="O786" t="str">
        <x:v>NO_SIGNAL</x:v>
      </x:c>
      <x:c r="P786" t="str">
        <x:v>ELEC</x:v>
      </x:c>
      <x:c r="Q786" t="str">
        <x:v>N</x:v>
      </x:c>
      <x:c r="R786" t="str">
        <x:v>12.2</x:v>
      </x:c>
      <x:c r="S786" t="str">
        <x:v>6422.83</x:v>
      </x:c>
      <x:c r="T786" t="str">
        <x:v>chk TT-503 - no signal frm ops</x:v>
      </x:c>
      <x:c r="U786" t="str">
        <x:v>B shift called for TT-503 reboiler outlet temperature tx, low heat seen during reboiler duty loss. Foud no signal; 24v or card issue. changed gasket and boxed up. ops says ok for now. notif made by ops, maint attended same shift.</x:v>
      </x:c>
    </x:row>
    <x:row r="787" ht="15" hidden="0" customHeight="1">
      <x:c r="A787" t="str">
        <x:v>10450786</x:v>
      </x:c>
      <x:c r="B787" t="str">
        <x:v>40870786</x:v>
      </x:c>
      <x:c r="C787" t="str">
        <x:v>2024-07-26</x:v>
      </x:c>
      <x:c r="D787" t="str">
        <x:v>2024-07-28</x:v>
      </x:c>
      <x:c r="E787" t="str">
        <x:v>2024-07-29</x:v>
      </x:c>
      <x:c r="F787" t="str">
        <x:v>U400-DEETHANIZER-500</x:v>
      </x:c>
      <x:c r="G787" t="str">
        <x:v>P-501A</x:v>
      </x:c>
      <x:c r="H787" t="str">
        <x:v>reflux pump A</x:v>
      </x:c>
      <x:c r="I787" t="str">
        <x:v>pump</x:v>
      </x:c>
      <x:c r="J787" t="str">
        <x:v>P3</x:v>
      </x:c>
      <x:c r="K787" t="str">
        <x:v>CLSD</x:v>
      </x:c>
      <x:c r="L787" t="str">
        <x:v>OPS+MECH</x:v>
      </x:c>
      <x:c r="M787" t="str">
        <x:v>reflux_pump_degradation</x:v>
      </x:c>
      <x:c r="N787" t="str">
        <x:v>bearing hot</x:v>
      </x:c>
      <x:c r="O787" t="str">
        <x:v>BRG</x:v>
      </x:c>
      <x:c r="P787" t="str">
        <x:v>WEAR</x:v>
      </x:c>
      <x:c r="Q787" t="str">
        <x:v>N</x:v>
      </x:c>
      <x:c r="R787" t="str">
        <x:v>1.3</x:v>
      </x:c>
      <x:c r="S787" t="str">
        <x:v>8040.01</x:v>
      </x:c>
      <x:c r="T787" t="str">
        <x:v>P-501A not ok after reflux pump degradation</x:v>
      </x:c>
      <x:c r="U787" t="str">
        <x:v>A shift called for P-501A reflux pump A, pump vib seen during reflux pump degradation. Foud bearing hot; brg rough, lube dark. Could not get permit first time waiting area gas test. stroke tested, response better. no leak at handover. notif made by ops, maint attended same shift.</x:v>
      </x:c>
    </x:row>
    <x:row r="788" ht="15" hidden="0" customHeight="1">
      <x:c r="A788" t="str">
        <x:v>10450787</x:v>
      </x:c>
      <x:c r="B788" t="str">
        <x:v>40870787</x:v>
      </x:c>
      <x:c r="C788" t="str">
        <x:v>2024-07-22</x:v>
      </x:c>
      <x:c r="D788" t="str">
        <x:v>2024-07-23</x:v>
      </x:c>
      <x:c r="E788" t="str">
        <x:v>2024-07-24</x:v>
      </x:c>
      <x:c r="F788" t="str">
        <x:v>U400-DEETHANIZER-500</x:v>
      </x:c>
      <x:c r="G788" t="str">
        <x:v>E-503</x:v>
      </x:c>
      <x:c r="H788" t="str">
        <x:v>feed bottoms exchanger</x:v>
      </x:c>
      <x:c r="I788" t="str">
        <x:v>exchanger</x:v>
      </x:c>
      <x:c r="J788" t="str">
        <x:v>P2</x:v>
      </x:c>
      <x:c r="K788" t="str">
        <x:v>COMP</x:v>
      </x:c>
      <x:c r="L788" t="str">
        <x:v>INST</x:v>
      </x:c>
      <x:c r="M788" t="str">
        <x:v>feed_flow_step</x:v>
      </x:c>
      <x:c r="N788" t="str">
        <x:v>gasket weep</x:v>
      </x:c>
      <x:c r="O788" t="str">
        <x:v>LEAK</x:v>
      </x:c>
      <x:c r="P788" t="str">
        <x:v>GASKET</x:v>
      </x:c>
      <x:c r="Q788" t="str">
        <x:v>N</x:v>
      </x:c>
      <x:c r="R788" t="str">
        <x:v>7.1</x:v>
      </x:c>
      <x:c r="S788" t="str">
        <x:v>7036.92</x:v>
      </x:c>
      <x:c r="T788" t="str">
        <x:v>E-503 lvl swing, gasket weep</x:v>
      </x:c>
      <x:c r="U788" t="str">
        <x:v>days called for E-503 feed bottoms exchanger, lvl swing seen during feed flow step. Foud gasket weep; flange sweating. calibrated, loop checked with CCR. temp repair only, plan shutdown job. notif made by ops, maint attended same shift.</x:v>
      </x:c>
    </x:row>
    <x:row r="789" ht="15" hidden="0" customHeight="1">
      <x:c r="A789" t="str">
        <x:v>10450788</x:v>
      </x:c>
      <x:c r="B789" t="str">
        <x:v>40870788</x:v>
      </x:c>
      <x:c r="C789" t="str">
        <x:v>2024-07-25</x:v>
      </x:c>
      <x:c r="D789" t="str">
        <x:v>2024-07-26</x:v>
      </x:c>
      <x:c r="E789" t="str">
        <x:v>2024-07-28</x:v>
      </x:c>
      <x:c r="F789" t="str">
        <x:v>U400-DEETHANIZER-500</x:v>
      </x:c>
      <x:c r="G789" t="str">
        <x:v>E-501</x:v>
      </x:c>
      <x:c r="H789" t="str">
        <x:v>deethanizer reboiler</x:v>
      </x:c>
      <x:c r="I789" t="str">
        <x:v>reboiler</x:v>
      </x:c>
      <x:c r="J789" t="str">
        <x:v>P4</x:v>
      </x:c>
      <x:c r="K789" t="str">
        <x:v>TECO</x:v>
      </x:c>
      <x:c r="L789" t="str">
        <x:v>OPS+INST</x:v>
      </x:c>
      <x:c r="M789" t="str">
        <x:v>feed_temperature_ramp</x:v>
      </x:c>
      <x:c r="N789" t="str">
        <x:v>fouled bundle</x:v>
      </x:c>
      <x:c r="O789" t="str">
        <x:v>FOULING</x:v>
      </x:c>
      <x:c r="P789" t="str">
        <x:v>PROCESS</x:v>
      </x:c>
      <x:c r="Q789" t="str">
        <x:v>N</x:v>
      </x:c>
      <x:c r="R789" t="str">
        <x:v>9.3</x:v>
      </x:c>
      <x:c r="S789" t="str">
        <x:v>6426.93</x:v>
      </x:c>
      <x:c r="T789" t="str">
        <x:v>E-501 fouled bundle chk &amp; revert</x:v>
      </x:c>
      <x:c r="U789" t="str">
        <x:v>B shift called for E-501 deethanizer reboiler, ovhd press moving seen during feed temperature ramp. Foud fouled bundle; bottoms side dirty. flushed impulse/sample line. unit stable now. notif made by ops, maint attended same shift.</x:v>
      </x:c>
    </x:row>
    <x:row r="790" ht="15" hidden="0" customHeight="1">
      <x:c r="A790" t="str">
        <x:v>10450789</x:v>
      </x:c>
      <x:c r="B790" t="str">
        <x:v>40870789</x:v>
      </x:c>
      <x:c r="C790" t="str">
        <x:v>2024-07-27</x:v>
      </x:c>
      <x:c r="D790" t="str">
        <x:v>2024-07-29</x:v>
      </x:c>
      <x:c r="E790" t="str">
        <x:v>2024-08-03</x:v>
      </x:c>
      <x:c r="F790" t="str">
        <x:v>U400-DEETHANIZER-500</x:v>
      </x:c>
      <x:c r="G790" t="str">
        <x:v>E-502</x:v>
      </x:c>
      <x:c r="H790" t="str">
        <x:v>deethanizer overhead condenser</x:v>
      </x:c>
      <x:c r="I790" t="str">
        <x:v>condenser</x:v>
      </x:c>
      <x:c r="J790" t="str">
        <x:v>P3</x:v>
      </x:c>
      <x:c r="K790" t="str">
        <x:v>COMP</x:v>
      </x:c>
      <x:c r="L790" t="str">
        <x:v>ROT</x:v>
      </x:c>
      <x:c r="M790" t="str">
        <x:v>condenser_fouling</x:v>
      </x:c>
      <x:c r="N790" t="str">
        <x:v>tube leak sus</x:v>
      </x:c>
      <x:c r="O790" t="str">
        <x:v>LEAK</x:v>
      </x:c>
      <x:c r="P790" t="str">
        <x:v>TUBE</x:v>
      </x:c>
      <x:c r="Q790" t="str">
        <x:v>N</x:v>
      </x:c>
      <x:c r="R790" t="str">
        <x:v>12.7</x:v>
      </x:c>
      <x:c r="S790" t="str">
        <x:v>1426.14</x:v>
      </x:c>
      <x:c r="T790" t="str">
        <x:v>E-502 tube leak sus noisy</x:v>
      </x:c>
      <x:c r="U790" t="str">
        <x:v>night called for E-502 deethanizer overhead condenser, cond not pullng seen during condenser fouling. Foud tube leak sus; hydrotest reqd. Tag plate dirty, confirmd by line up with panel. changed gasket and boxed up. readng close to dcs after job. notif made by ops, maint attended same shift.</x:v>
      </x:c>
    </x:row>
    <x:row r="791" ht="15" hidden="0" customHeight="1">
      <x:c r="A791" t="str">
        <x:v>10450790</x:v>
      </x:c>
      <x:c r="B791" t="str">
        <x:v>40870790</x:v>
      </x:c>
      <x:c r="C791" t="str">
        <x:v>2024-07-30</x:v>
      </x:c>
      <x:c r="D791" t="str">
        <x:v>2024-07-31</x:v>
      </x:c>
      <x:c r="E791" t="str">
        <x:v>2024-07-31</x:v>
      </x:c>
      <x:c r="F791" t="str">
        <x:v>U400-DEETHANIZER-500</x:v>
      </x:c>
      <x:c r="G791" t="str">
        <x:v>LV-501</x:v>
      </x:c>
      <x:c r="H791" t="str">
        <x:v>reflux drum level valve</x:v>
      </x:c>
      <x:c r="I791" t="str">
        <x:v>control_valve</x:v>
      </x:c>
      <x:c r="J791" t="str">
        <x:v>P2</x:v>
      </x:c>
      <x:c r="K791" t="str">
        <x:v>TECO</x:v>
      </x:c>
      <x:c r="L791" t="str">
        <x:v>MECH</x:v>
      </x:c>
      <x:c r="M791" t="str">
        <x:v>valve_stiction</x:v>
      </x:c>
      <x:c r="N791" t="str">
        <x:v>not stroking</x:v>
      </x:c>
      <x:c r="O791" t="str">
        <x:v>NO_TRAVEL</x:v>
      </x:c>
      <x:c r="P791" t="str">
        <x:v>ACT</x:v>
      </x:c>
      <x:c r="Q791" t="str">
        <x:v>N</x:v>
      </x:c>
      <x:c r="R791" t="str">
        <x:v>8.9</x:v>
      </x:c>
      <x:c r="S791" t="str">
        <x:v>5760.85</x:v>
      </x:c>
      <x:c r="T791" t="str">
        <x:v>LV-501 not stroking after upset</x:v>
      </x:c>
      <x:c r="U791" t="str">
        <x:v>night called for LV-501 reflux drum level vavle, op jumps seen during vavle stiction. Foud not stroking; actuator weak. History shows same complain last mnth. replaced positioner tubing and retuned small. unit stable now. notif made by ops, maint attended same shift.</x:v>
      </x:c>
    </x:row>
    <x:row r="792" ht="15" hidden="0" customHeight="1">
      <x:c r="A792" t="str">
        <x:v>10450791</x:v>
      </x:c>
      <x:c r="B792" t="str">
        <x:v>40870791</x:v>
      </x:c>
      <x:c r="C792" t="str">
        <x:v>2024-07-31</x:v>
      </x:c>
      <x:c r="D792" t="str">
        <x:v>2024-08-01</x:v>
      </x:c>
      <x:c r="E792" t="str">
        <x:v>2024-08-03</x:v>
      </x:c>
      <x:c r="F792" t="str">
        <x:v>U400-DEETHANIZER-500</x:v>
      </x:c>
      <x:c r="G792" t="str">
        <x:v>FT-501</x:v>
      </x:c>
      <x:c r="H792" t="str">
        <x:v>feed flow transmitter</x:v>
      </x:c>
      <x:c r="I792" t="str">
        <x:v>instrument</x:v>
      </x:c>
      <x:c r="J792" t="str">
        <x:v>P2</x:v>
      </x:c>
      <x:c r="K792" t="str">
        <x:v>CLSD</x:v>
      </x:c>
      <x:c r="L792" t="str">
        <x:v>OPS+INST</x:v>
      </x:c>
      <x:c r="M792" t="str">
        <x:v>reflux_pump_degradation</x:v>
      </x:c>
      <x:c r="N792" t="str">
        <x:v>bad reading</x:v>
      </x:c>
      <x:c r="O792" t="str">
        <x:v>DRIFT</x:v>
      </x:c>
      <x:c r="P792" t="str">
        <x:v>CAL</x:v>
      </x:c>
      <x:c r="Q792" t="str">
        <x:v>N</x:v>
      </x:c>
      <x:c r="R792" t="str">
        <x:v>4.8</x:v>
      </x:c>
      <x:c r="S792" t="str">
        <x:v>5237.98</x:v>
      </x:c>
      <x:c r="T792" t="str">
        <x:v>chk FT-501 - bad reading frm ops</x:v>
      </x:c>
      <x:c r="U792" t="str">
        <x:v>days called for FT-501 feed flow transmitter, pump vib seen during reflux pump degradation. Foud bad reading; needs calib. Tag plate dirty, confirmd by line up with panel. stroke tested, response better. need watch next feed swing. notif made by ops, maint attended same shift.</x:v>
      </x:c>
    </x:row>
    <x:row r="793" ht="15" hidden="0" customHeight="1">
      <x:c r="A793" t="str">
        <x:v>10450792</x:v>
      </x:c>
      <x:c r="B793" t="str">
        <x:v>40870792</x:v>
      </x:c>
      <x:c r="C793" t="str">
        <x:v>2024-08-03</x:v>
      </x:c>
      <x:c r="D793" t="str">
        <x:v>2024-08-04</x:v>
      </x:c>
      <x:c r="E793" t="str">
        <x:v>2024-08-07</x:v>
      </x:c>
      <x:c r="F793" t="str">
        <x:v>U400-DEETHANIZER-500</x:v>
      </x:c>
      <x:c r="G793" t="str">
        <x:v>E-503</x:v>
      </x:c>
      <x:c r="H793" t="str">
        <x:v>feed bottoms exchanger</x:v>
      </x:c>
      <x:c r="I793" t="str">
        <x:v>exchanger</x:v>
      </x:c>
      <x:c r="J793" t="str">
        <x:v>P3</x:v>
      </x:c>
      <x:c r="K793" t="str">
        <x:v>CLSD</x:v>
      </x:c>
      <x:c r="L793" t="str">
        <x:v>MECH</x:v>
      </x:c>
      <x:c r="M793" t="str">
        <x:v>feed_flow_step</x:v>
      </x:c>
      <x:c r="N793" t="str">
        <x:v>plugged pass</x:v>
      </x:c>
      <x:c r="O793" t="str">
        <x:v>PLUG</x:v>
      </x:c>
      <x:c r="P793" t="str">
        <x:v>FOUL</x:v>
      </x:c>
      <x:c r="Q793" t="str">
        <x:v>N</x:v>
      </x:c>
      <x:c r="R793" t="str">
        <x:v>10.2</x:v>
      </x:c>
      <x:c r="S793" t="str">
        <x:v>2449.27</x:v>
      </x:c>
      <x:c r="T793" t="str">
        <x:v>E-503 lvl swing, plugged pass</x:v>
      </x:c>
      <x:c r="U793" t="str">
        <x:v>B shift called for E-503 feed bottoms exchanger, feed jump seen during feed flow step. Foud plugged pass; flow restricted. swapped to standby and repaired. readng close to dcs after job. notif made by ops, maint attended same shift.</x:v>
      </x:c>
    </x:row>
    <x:row r="794" ht="15" hidden="0" customHeight="1">
      <x:c r="A794" t="str">
        <x:v>10450793</x:v>
      </x:c>
      <x:c r="B794" t="str">
        <x:v>40870793</x:v>
      </x:c>
      <x:c r="C794" t="str">
        <x:v>2024-08-05</x:v>
      </x:c>
      <x:c r="D794" t="str">
        <x:v>2024-08-05</x:v>
      </x:c>
      <x:c r="E794" t="str">
        <x:v>2024-08-06</x:v>
      </x:c>
      <x:c r="F794" t="str">
        <x:v>U400-DEETHANIZER-500</x:v>
      </x:c>
      <x:c r="G794" t="str">
        <x:v>TV-501</x:v>
      </x:c>
      <x:c r="H794" t="str">
        <x:v>reboiler hot medium valve</x:v>
      </x:c>
      <x:c r="I794" t="str">
        <x:v>control_valve</x:v>
      </x:c>
      <x:c r="J794" t="str">
        <x:v>P4</x:v>
      </x:c>
      <x:c r="K794" t="str">
        <x:v>TECO</x:v>
      </x:c>
      <x:c r="L794" t="str">
        <x:v>ROT</x:v>
      </x:c>
      <x:c r="M794" t="str">
        <x:v>condenser_fouling</x:v>
      </x:c>
      <x:c r="N794" t="str">
        <x:v>stiction</x:v>
      </x:c>
      <x:c r="O794" t="str">
        <x:v>STICK</x:v>
      </x:c>
      <x:c r="P794" t="str">
        <x:v>PACKING</x:v>
      </x:c>
      <x:c r="Q794" t="str">
        <x:v>N</x:v>
      </x:c>
      <x:c r="R794" t="str">
        <x:v>1.4</x:v>
      </x:c>
      <x:c r="S794" t="str">
        <x:v>2368.25</x:v>
      </x:c>
      <x:c r="T794" t="str">
        <x:v>TV-501 stiction again, prod upset</x:v>
      </x:c>
      <x:c r="U794" t="str">
        <x:v>B shift called for TV-501 rebiler hot medium valve, high ovhd press seen during condenser fouling. Foud stiction; stem sticky and pos err. opened strainer, cleaned black sludge. unit stable now. notif made by ops, maint attended same shift.</x:v>
      </x:c>
    </x:row>
    <x:row r="795" ht="15" hidden="0" customHeight="1">
      <x:c r="A795" t="str">
        <x:v>10450794</x:v>
      </x:c>
      <x:c r="B795" t="str">
        <x:v>40870794</x:v>
      </x:c>
      <x:c r="C795" t="str">
        <x:v>2024-08-04</x:v>
      </x:c>
      <x:c r="D795" t="str">
        <x:v>2024-08-05</x:v>
      </x:c>
      <x:c r="E795" t="str">
        <x:v>2024-08-06</x:v>
      </x:c>
      <x:c r="F795" t="str">
        <x:v>U400-DEETHANIZER-500</x:v>
      </x:c>
      <x:c r="G795" t="str">
        <x:v>P-501A</x:v>
      </x:c>
      <x:c r="H795" t="str">
        <x:v>reflux pump A</x:v>
      </x:c>
      <x:c r="I795" t="str">
        <x:v>pump</x:v>
      </x:c>
      <x:c r="J795" t="str">
        <x:v>P2</x:v>
      </x:c>
      <x:c r="K795" t="str">
        <x:v>CLSD</x:v>
      </x:c>
      <x:c r="L795" t="str">
        <x:v>E&amp;I</x:v>
      </x:c>
      <x:c r="M795" t="str">
        <x:v>reflux_pump_degradation</x:v>
      </x:c>
      <x:c r="N795" t="str">
        <x:v>bearing hot</x:v>
      </x:c>
      <x:c r="O795" t="str">
        <x:v>BRG</x:v>
      </x:c>
      <x:c r="P795" t="str">
        <x:v>WEAR</x:v>
      </x:c>
      <x:c r="Q795" t="str">
        <x:v>N</x:v>
      </x:c>
      <x:c r="R795" t="str">
        <x:v>9.2</x:v>
      </x:c>
      <x:c r="S795" t="str">
        <x:v>7755.39</x:v>
      </x:c>
      <x:c r="T795" t="str">
        <x:v>P-501A bearing hot again, prod upset</x:v>
      </x:c>
      <x:c r="U795" t="str">
        <x:v>A shift called for P-501A reflux pump A, disch press low seen during reflux pump degradation. Foud bearing hot; brg rough, lube dark. Line was hot so job done slow and with ops standing by. reset trip and monitored for 2 hrs. temp repair only, plan shutdown job. notif made by ops, maint attended same shift.</x:v>
      </x:c>
    </x:row>
    <x:row r="796" ht="15" hidden="0" customHeight="1">
      <x:c r="A796" t="str">
        <x:v>10450795</x:v>
      </x:c>
      <x:c r="B796" t="str">
        <x:v>40870795</x:v>
      </x:c>
      <x:c r="C796" t="str">
        <x:v>2024-08-07</x:v>
      </x:c>
      <x:c r="D796" t="str">
        <x:v>2024-08-07</x:v>
      </x:c>
      <x:c r="E796" t="str">
        <x:v>2024-08-07</x:v>
      </x:c>
      <x:c r="F796" t="str">
        <x:v>U400-DEETHANIZER-500</x:v>
      </x:c>
      <x:c r="G796" t="str">
        <x:v>PV-501</x:v>
      </x:c>
      <x:c r="H796" t="str">
        <x:v>column pressure control valve</x:v>
      </x:c>
      <x:c r="I796" t="str">
        <x:v>control_valve</x:v>
      </x:c>
      <x:c r="J796" t="str">
        <x:v>P3</x:v>
      </x:c>
      <x:c r="K796" t="str">
        <x:v>COMP</x:v>
      </x:c>
      <x:c r="L796" t="str">
        <x:v>E&amp;I</x:v>
      </x:c>
      <x:c r="M796" t="str">
        <x:v>feed_flow_step</x:v>
      </x:c>
      <x:c r="N796" t="str">
        <x:v>stiction</x:v>
      </x:c>
      <x:c r="O796" t="str">
        <x:v>STICK</x:v>
      </x:c>
      <x:c r="P796" t="str">
        <x:v>PACKING</x:v>
      </x:c>
      <x:c r="Q796" t="str">
        <x:v>N</x:v>
      </x:c>
      <x:c r="R796" t="str">
        <x:v>10.1</x:v>
      </x:c>
      <x:c r="S796" t="str">
        <x:v>6570.04</x:v>
      </x:c>
      <x:c r="T796" t="str">
        <x:v>PV-501 column dp high, stiction</x:v>
      </x:c>
      <x:c r="U796" t="str">
        <x:v>days called for PV-501 column press control valve, lvl swing seen during feed flow step. Foud stiction; stem sticky and pos err. swapped to standby and repaired. readng close to dcs after job. notif made by ops, maint attended same shift.</x:v>
      </x:c>
    </x:row>
    <x:row r="797" ht="15" hidden="0" customHeight="1">
      <x:c r="A797" t="str">
        <x:v>10450796</x:v>
      </x:c>
      <x:c r="B797" t="str">
        <x:v>40870796</x:v>
      </x:c>
      <x:c r="C797" t="str">
        <x:v>2024-08-05</x:v>
      </x:c>
      <x:c r="D797" t="str">
        <x:v>2024-08-05</x:v>
      </x:c>
      <x:c r="E797" t="str">
        <x:v>2024-08-05</x:v>
      </x:c>
      <x:c r="F797" t="str">
        <x:v>U400-DEETHANIZER-500</x:v>
      </x:c>
      <x:c r="G797" t="str">
        <x:v>TT-501B</x:v>
      </x:c>
      <x:c r="H797" t="str">
        <x:v>sensitive tray temperature tx</x:v>
      </x:c>
      <x:c r="I797" t="str">
        <x:v>instrument</x:v>
      </x:c>
      <x:c r="J797" t="str">
        <x:v>P3</x:v>
      </x:c>
      <x:c r="K797" t="str">
        <x:v>COMP</x:v>
      </x:c>
      <x:c r="L797" t="str">
        <x:v>ANLYZR</x:v>
      </x:c>
      <x:c r="M797" t="str">
        <x:v>feed_temperature_ramp</x:v>
      </x:c>
      <x:c r="N797" t="str">
        <x:v>range err</x:v>
      </x:c>
      <x:c r="O797" t="str">
        <x:v>SPAN</x:v>
      </x:c>
      <x:c r="P797" t="str">
        <x:v>CAL</x:v>
      </x:c>
      <x:c r="Q797" t="str">
        <x:v>N</x:v>
      </x:c>
      <x:c r="R797" t="str">
        <x:v>13.1</x:v>
      </x:c>
      <x:c r="S797" t="str">
        <x:v>3302.51</x:v>
      </x:c>
      <x:c r="T797" t="str">
        <x:v>TT-501B feed temp high, range err</x:v>
      </x:c>
      <x:c r="U797" t="str">
        <x:v>A shift called for TT-501B sensitive tray temperature tx, spec off seen during feed temperature ramp. Foud range err; span shifted. Line was hot so job done slow and with ops standing by. cleaned and put back online. temp repair only, plan shutdown job. notif made by ops, maint attended same shift.</x:v>
      </x:c>
    </x:row>
    <x:row r="798" ht="15" hidden="0" customHeight="1">
      <x:c r="A798" t="str">
        <x:v>10450797</x:v>
      </x:c>
      <x:c r="B798" t="str">
        <x:v>40870797</x:v>
      </x:c>
      <x:c r="C798" t="str">
        <x:v>2024-08-10</x:v>
      </x:c>
      <x:c r="D798" t="str">
        <x:v>2024-08-12</x:v>
      </x:c>
      <x:c r="E798" t="str">
        <x:v>2024-08-13</x:v>
      </x:c>
      <x:c r="F798" t="str">
        <x:v>U400-DEETHANIZER-500</x:v>
      </x:c>
      <x:c r="G798" t="str">
        <x:v>PV-501</x:v>
      </x:c>
      <x:c r="H798" t="str">
        <x:v>column pressure control valve</x:v>
      </x:c>
      <x:c r="I798" t="str">
        <x:v>control_valve</x:v>
      </x:c>
      <x:c r="J798" t="str">
        <x:v>P3</x:v>
      </x:c>
      <x:c r="K798" t="str">
        <x:v>CLSD</x:v>
      </x:c>
      <x:c r="L798" t="str">
        <x:v>ANLYZR</x:v>
      </x:c>
      <x:c r="M798" t="str">
        <x:v>condenser_fouling</x:v>
      </x:c>
      <x:c r="N798" t="str">
        <x:v>not stroking</x:v>
      </x:c>
      <x:c r="O798" t="str">
        <x:v>NO_TRAVEL</x:v>
      </x:c>
      <x:c r="P798" t="str">
        <x:v>ACT</x:v>
      </x:c>
      <x:c r="Q798" t="str">
        <x:v>N</x:v>
      </x:c>
      <x:c r="R798" t="str">
        <x:v>5.8</x:v>
      </x:c>
      <x:c r="S798" t="str">
        <x:v>2481.14</x:v>
      </x:c>
      <x:c r="T798" t="str">
        <x:v>PV-501 not stroking asap</x:v>
      </x:c>
      <x:c r="U798" t="str">
        <x:v>C shift called for PV-501 column pressure control valve, pic wide open seen during condenser fouling. Foud not stroking; actuator weak. changed gasket and boxed up. still little hunting but acceptable. notif made by ops, maint attended same shift.</x:v>
      </x:c>
    </x:row>
    <x:row r="799" ht="15" hidden="0" customHeight="1">
      <x:c r="A799" t="str">
        <x:v>10450798</x:v>
      </x:c>
      <x:c r="B799" t="str">
        <x:v>40870798</x:v>
      </x:c>
      <x:c r="C799" t="str">
        <x:v>2024-08-11</x:v>
      </x:c>
      <x:c r="D799" t="str">
        <x:v>2024-08-11</x:v>
      </x:c>
      <x:c r="E799" t="str">
        <x:v>2024-08-16</x:v>
      </x:c>
      <x:c r="F799" t="str">
        <x:v>U400-DEETHANIZER-500</x:v>
      </x:c>
      <x:c r="G799" t="str">
        <x:v>LT-502</x:v>
      </x:c>
      <x:c r="H799" t="str">
        <x:v>column bottom level tx</x:v>
      </x:c>
      <x:c r="I799" t="str">
        <x:v>instrument</x:v>
      </x:c>
      <x:c r="J799" t="str">
        <x:v>P2</x:v>
      </x:c>
      <x:c r="K799" t="str">
        <x:v>CLSD</x:v>
      </x:c>
      <x:c r="L799" t="str">
        <x:v>ANLYZR</x:v>
      </x:c>
      <x:c r="M799" t="str">
        <x:v>reboiler_duty_loss</x:v>
      </x:c>
      <x:c r="N799" t="str">
        <x:v>no signal</x:v>
      </x:c>
      <x:c r="O799" t="str">
        <x:v>NO_SIGNAL</x:v>
      </x:c>
      <x:c r="P799" t="str">
        <x:v>ELEC</x:v>
      </x:c>
      <x:c r="Q799" t="str">
        <x:v>N</x:v>
      </x:c>
      <x:c r="R799" t="str">
        <x:v>10.0</x:v>
      </x:c>
      <x:c r="S799" t="str">
        <x:v>2682.62</x:v>
      </x:c>
      <x:c r="T799" t="str">
        <x:v>LT-502 no signal again, prod upset</x:v>
      </x:c>
      <x:c r="U799" t="str">
        <x:v>C shift called for LT-502 column bottom level tx, steam/hm valve no resp seen during reboiler duty loss. Foud no signal; 24v or card issue. No spare in store at first, used refurb one from shop. stroke tested, response better. need watch next feed swing. notif made by ops, maint attended same shift.</x:v>
      </x:c>
    </x:row>
    <x:row r="800" ht="15" hidden="0" customHeight="1">
      <x:c r="A800" t="str">
        <x:v>10450799</x:v>
      </x:c>
      <x:c r="B800" t="str">
        <x:v>40870799</x:v>
      </x:c>
      <x:c r="C800" t="str">
        <x:v>2024-08-09</x:v>
      </x:c>
      <x:c r="D800" t="str">
        <x:v>2024-08-10</x:v>
      </x:c>
      <x:c r="E800" t="str">
        <x:v>2024-08-13</x:v>
      </x:c>
      <x:c r="F800" t="str">
        <x:v>U400-DEETHANIZER-500</x:v>
      </x:c>
      <x:c r="G800" t="str">
        <x:v>E-503</x:v>
      </x:c>
      <x:c r="H800" t="str">
        <x:v>feed bottoms exchanger</x:v>
      </x:c>
      <x:c r="I800" t="str">
        <x:v>exchanger</x:v>
      </x:c>
      <x:c r="J800" t="str">
        <x:v>P3</x:v>
      </x:c>
      <x:c r="K800" t="str">
        <x:v>TECO</x:v>
      </x:c>
      <x:c r="L800" t="str">
        <x:v>VALVE</x:v>
      </x:c>
      <x:c r="M800" t="str">
        <x:v>feed_flow_step</x:v>
      </x:c>
      <x:c r="N800" t="str">
        <x:v>tube fouling</x:v>
      </x:c>
      <x:c r="O800" t="str">
        <x:v>FOULING</x:v>
      </x:c>
      <x:c r="P800" t="str">
        <x:v>PROCESS</x:v>
      </x:c>
      <x:c r="Q800" t="str">
        <x:v>N</x:v>
      </x:c>
      <x:c r="R800" t="str">
        <x:v>6.7</x:v>
      </x:c>
      <x:c r="S800" t="str">
        <x:v>12840.65</x:v>
      </x:c>
      <x:c r="T800" t="str">
        <x:v>E-503 fic hunting, tube fouling</x:v>
      </x:c>
      <x:c r="U800" t="str">
        <x:v>A shift called for E-503 feed bottoms exchanger, lvl swing seen during feed flow step. Foud tube fouling; duty low, delta t poor. No spare in store at first, used refurb one from shop. stroke tested, response better. need watch next feed swing. notif made by ops, maint attended same shift.</x:v>
      </x:c>
    </x:row>
    <x:row r="801" ht="15" hidden="0" customHeight="1">
      <x:c r="A801" t="str">
        <x:v>10450800</x:v>
      </x:c>
      <x:c r="B801" t="str">
        <x:v>40870800</x:v>
      </x:c>
      <x:c r="C801" t="str">
        <x:v>2024-08-13</x:v>
      </x:c>
      <x:c r="D801" t="str">
        <x:v>2024-08-13</x:v>
      </x:c>
      <x:c r="E801" t="str">
        <x:v>2024-08-13</x:v>
      </x:c>
      <x:c r="F801" t="str">
        <x:v>U400-DEETHANIZER-500</x:v>
      </x:c>
      <x:c r="G801" t="str">
        <x:v>PV-501</x:v>
      </x:c>
      <x:c r="H801" t="str">
        <x:v>column pressure control valve</x:v>
      </x:c>
      <x:c r="I801" t="str">
        <x:v>control_valve</x:v>
      </x:c>
      <x:c r="J801" t="str">
        <x:v>P4</x:v>
      </x:c>
      <x:c r="K801" t="str">
        <x:v>CLSD</x:v>
      </x:c>
      <x:c r="L801" t="str">
        <x:v>ANLYZR</x:v>
      </x:c>
      <x:c r="M801" t="str">
        <x:v>condenser_fouling</x:v>
      </x:c>
      <x:c r="N801" t="str">
        <x:v>not stroking</x:v>
      </x:c>
      <x:c r="O801" t="str">
        <x:v>NO_TRAVEL</x:v>
      </x:c>
      <x:c r="P801" t="str">
        <x:v>ACT</x:v>
      </x:c>
      <x:c r="Q801" t="str">
        <x:v>N</x:v>
      </x:c>
      <x:c r="R801" t="str">
        <x:v>6.7</x:v>
      </x:c>
      <x:c r="S801" t="str">
        <x:v>2954.13</x:v>
      </x:c>
      <x:c r="T801" t="str">
        <x:v>PV-501 high ovhd press, not stroking</x:v>
      </x:c>
      <x:c r="U801" t="str">
        <x:v>night called for PV-501 column press ctrl valve, high ovhd press seen during condenser fouling. Foud not stroking; actuator weak. Line was hot so job done slow and with ops standing by. opened strainer, cleaned black sludge. temp repair only, plan shutdown job. notif made by ops, maint attended same shift.</x:v>
      </x:c>
    </x:row>
    <x:row r="802" ht="15" hidden="0" customHeight="1">
      <x:c r="A802" t="str">
        <x:v>10450801</x:v>
      </x:c>
      <x:c r="B802" t="str">
        <x:v>40870801</x:v>
      </x:c>
      <x:c r="C802" t="str">
        <x:v>2024-08-13</x:v>
      </x:c>
      <x:c r="D802" t="str">
        <x:v>2024-08-13</x:v>
      </x:c>
      <x:c r="E802" t="str">
        <x:v>2024-08-15</x:v>
      </x:c>
      <x:c r="F802" t="str">
        <x:v>U400-DEETHANIZER-500</x:v>
      </x:c>
      <x:c r="G802" t="str">
        <x:v>FV-502</x:v>
      </x:c>
      <x:c r="H802" t="str">
        <x:v>reflux flow control valve</x:v>
      </x:c>
      <x:c r="I802" t="str">
        <x:v>control_valve</x:v>
      </x:c>
      <x:c r="J802" t="str">
        <x:v>P4</x:v>
      </x:c>
      <x:c r="K802" t="str">
        <x:v>CLSD</x:v>
      </x:c>
      <x:c r="L802" t="str">
        <x:v>MECH</x:v>
      </x:c>
      <x:c r="M802" t="str">
        <x:v>reflux_pump_degradation</x:v>
      </x:c>
      <x:c r="N802" t="str">
        <x:v>air leak</x:v>
      </x:c>
      <x:c r="O802" t="str">
        <x:v>AIR_LEAK</x:v>
      </x:c>
      <x:c r="P802" t="str">
        <x:v>TUBING</x:v>
      </x:c>
      <x:c r="Q802" t="str">
        <x:v>N</x:v>
      </x:c>
      <x:c r="R802" t="str">
        <x:v>13.1</x:v>
      </x:c>
      <x:c r="S802" t="str">
        <x:v>2604.48</x:v>
      </x:c>
      <x:c r="T802" t="str">
        <x:v>FV-502 air leak again, prod upset</x:v>
      </x:c>
      <x:c r="U802" t="str">
        <x:v>C shift called for FV-502 reflux flow control valve, seal weep seen during reflux pump degradation. Foud air leak; positioner supply drop. No spare in store at first, used refurb one from shop. changed gasket and boxed up. need watch next feed swing. notif made by ops, maint attended same shift.</x:v>
      </x:c>
    </x:row>
    <x:row r="803" ht="15" hidden="0" customHeight="1">
      <x:c r="A803" t="str">
        <x:v>10450802</x:v>
      </x:c>
      <x:c r="B803" t="str">
        <x:v>40870802</x:v>
      </x:c>
      <x:c r="C803" t="str">
        <x:v>2024-08-16</x:v>
      </x:c>
      <x:c r="D803" t="str">
        <x:v>2024-08-17</x:v>
      </x:c>
      <x:c r="E803" t="str">
        <x:v>2024-08-17</x:v>
      </x:c>
      <x:c r="F803" t="str">
        <x:v>U400-DEETHANIZER-500</x:v>
      </x:c>
      <x:c r="G803" t="str">
        <x:v>E-501</x:v>
      </x:c>
      <x:c r="H803" t="str">
        <x:v>deethanizer reboiler</x:v>
      </x:c>
      <x:c r="I803" t="str">
        <x:v>reboiler</x:v>
      </x:c>
      <x:c r="J803" t="str">
        <x:v>P2</x:v>
      </x:c>
      <x:c r="K803" t="str">
        <x:v>CLSD</x:v>
      </x:c>
      <x:c r="L803" t="str">
        <x:v>OPS+INST</x:v>
      </x:c>
      <x:c r="M803" t="str">
        <x:v>reboiler_duty_loss</x:v>
      </x:c>
      <x:c r="N803" t="str">
        <x:v>low duty</x:v>
      </x:c>
      <x:c r="O803" t="str">
        <x:v>DUTY_LOSS</x:v>
      </x:c>
      <x:c r="P803" t="str">
        <x:v>UTILITY</x:v>
      </x:c>
      <x:c r="Q803" t="str">
        <x:v>N</x:v>
      </x:c>
      <x:c r="R803" t="str">
        <x:v>14.8</x:v>
      </x:c>
      <x:c r="S803" t="str">
        <x:v>13670.4</x:v>
      </x:c>
      <x:c r="T803" t="str">
        <x:v>E-501 low duty after upset</x:v>
      </x:c>
      <x:c r="U803" t="str">
        <x:v>B shift called for E-501 deethanizer reboiler, low heat seen during reboiler duty loss. Foud low duty; hm vavle/strainer issue. Tag plate dirty, confirmd by line up with panel. opened strainer, cleaned black sludge. readng close to dcs after job. notif made by ops, maint attended same shift.</x:v>
      </x:c>
    </x:row>
    <x:row r="804" ht="15" hidden="0" customHeight="1">
      <x:c r="A804" t="str">
        <x:v>10450803</x:v>
      </x:c>
      <x:c r="B804" t="str">
        <x:v>40870803</x:v>
      </x:c>
      <x:c r="C804" t="str">
        <x:v>2024-08-19</x:v>
      </x:c>
      <x:c r="D804" t="str">
        <x:v>2024-08-19</x:v>
      </x:c>
      <x:c r="E804" t="str">
        <x:v>2024-08-19</x:v>
      </x:c>
      <x:c r="F804" t="str">
        <x:v>U400-DEETHANIZER-500</x:v>
      </x:c>
      <x:c r="G804" t="str">
        <x:v>FV-501</x:v>
      </x:c>
      <x:c r="H804" t="str">
        <x:v>feed flow control valve</x:v>
      </x:c>
      <x:c r="I804" t="str">
        <x:v>control_valve</x:v>
      </x:c>
      <x:c r="J804" t="str">
        <x:v>P3</x:v>
      </x:c>
      <x:c r="K804" t="str">
        <x:v>CLSD</x:v>
      </x:c>
      <x:c r="L804" t="str">
        <x:v>MECH</x:v>
      </x:c>
      <x:c r="M804" t="str">
        <x:v>valve_stiction</x:v>
      </x:c>
      <x:c r="N804" t="str">
        <x:v>not stroking</x:v>
      </x:c>
      <x:c r="O804" t="str">
        <x:v>NO_TRAVEL</x:v>
      </x:c>
      <x:c r="P804" t="str">
        <x:v>ACT</x:v>
      </x:c>
      <x:c r="Q804" t="str">
        <x:v>N</x:v>
      </x:c>
      <x:c r="R804" t="str">
        <x:v>2.3</x:v>
      </x:c>
      <x:c r="S804" t="str">
        <x:v>4278.53</x:v>
      </x:c>
      <x:c r="T804" t="str">
        <x:v>FV-501 not stroking again, prod upset</x:v>
      </x:c>
      <x:c r="U804" t="str">
        <x:v>days called for FV-501 feed flow ctrl valve, op jumps seen during valve stiction. Foud not stroking; actuator weak. cleaned and put back online. unit stable now. notif made by ops, maint attended same shift.</x:v>
      </x:c>
    </x:row>
    <x:row r="805" ht="15" hidden="0" customHeight="1">
      <x:c r="A805" t="str">
        <x:v>10450804</x:v>
      </x:c>
      <x:c r="B805" t="str">
        <x:v>40870804</x:v>
      </x:c>
      <x:c r="C805" t="str">
        <x:v>2024-08-21</x:v>
      </x:c>
      <x:c r="D805" t="str">
        <x:v>2024-08-23</x:v>
      </x:c>
      <x:c r="E805" t="str">
        <x:v>2024-08-24</x:v>
      </x:c>
      <x:c r="F805" t="str">
        <x:v>U400-DEETHANIZER-500</x:v>
      </x:c>
      <x:c r="G805" t="str">
        <x:v>LV-502</x:v>
      </x:c>
      <x:c r="H805" t="str">
        <x:v>bottoms level valve</x:v>
      </x:c>
      <x:c r="I805" t="str">
        <x:v>control_valve</x:v>
      </x:c>
      <x:c r="J805" t="str">
        <x:v>P1</x:v>
      </x:c>
      <x:c r="K805" t="str">
        <x:v>COMP</x:v>
      </x:c>
      <x:c r="L805" t="str">
        <x:v>ROT</x:v>
      </x:c>
      <x:c r="M805" t="str">
        <x:v>valve_stiction</x:v>
      </x:c>
      <x:c r="N805" t="str">
        <x:v>hunting loop</x:v>
      </x:c>
      <x:c r="O805" t="str">
        <x:v>CTRL_OSC</x:v>
      </x:c>
      <x:c r="P805" t="str">
        <x:v>TUNE</x:v>
      </x:c>
      <x:c r="Q805" t="str">
        <x:v>N</x:v>
      </x:c>
      <x:c r="R805" t="str">
        <x:v>11.7</x:v>
      </x:c>
      <x:c r="S805" t="str">
        <x:v>3338.9</x:v>
      </x:c>
      <x:c r="T805" t="str">
        <x:v>LV-502 not ok after valve stiction</x:v>
      </x:c>
      <x:c r="U805" t="str">
        <x:v>C shift called for LV-502 bottoms level vavle, air leak seen during vavle stiction. Foud hunting loop; bad response after upset. reset trip and monitored for 2 hrs. still little hunting but acceptable. notif made by ops, maint attended same shift.</x:v>
      </x:c>
    </x:row>
    <x:row r="806" ht="15" hidden="0" customHeight="1">
      <x:c r="A806" t="str">
        <x:v>10450805</x:v>
      </x:c>
      <x:c r="B806" t="str">
        <x:v>40870805</x:v>
      </x:c>
      <x:c r="C806" t="str">
        <x:v>2024-08-19</x:v>
      </x:c>
      <x:c r="D806" t="str">
        <x:v>2024-08-19</x:v>
      </x:c>
      <x:c r="E806" t="str">
        <x:v>2024-08-19</x:v>
      </x:c>
      <x:c r="F806" t="str">
        <x:v>U400-DEETHANIZER-500</x:v>
      </x:c>
      <x:c r="G806" t="str">
        <x:v>FT-501</x:v>
      </x:c>
      <x:c r="H806" t="str">
        <x:v>feed flow transmitter</x:v>
      </x:c>
      <x:c r="I806" t="str">
        <x:v>instrument</x:v>
      </x:c>
      <x:c r="J806" t="str">
        <x:v>P3</x:v>
      </x:c>
      <x:c r="K806" t="str">
        <x:v>TECO</x:v>
      </x:c>
      <x:c r="L806" t="str">
        <x:v>E&amp;I</x:v>
      </x:c>
      <x:c r="M806" t="str">
        <x:v>feed_flow_step</x:v>
      </x:c>
      <x:c r="N806" t="str">
        <x:v>bad reading</x:v>
      </x:c>
      <x:c r="O806" t="str">
        <x:v>DRIFT</x:v>
      </x:c>
      <x:c r="P806" t="str">
        <x:v>CAL</x:v>
      </x:c>
      <x:c r="Q806" t="str">
        <x:v>N</x:v>
      </x:c>
      <x:c r="R806" t="str">
        <x:v>14.6</x:v>
      </x:c>
      <x:c r="S806" t="str">
        <x:v>5494.4</x:v>
      </x:c>
      <x:c r="T806" t="str">
        <x:v>FT-501 bad reading again, prod upset</x:v>
      </x:c>
      <x:c r="U806" t="str">
        <x:v>night called for FT-501 feed flow transmitter, fic hunting seen during feed flow step. Foud bad reading; needs calib. cleaned and put back online. temp repair only, plan shutdown job. notif made by ops, maint attended same shift.</x:v>
      </x:c>
    </x:row>
    <x:row r="807" ht="15" hidden="0" customHeight="1">
      <x:c r="A807" t="str">
        <x:v>10450806</x:v>
      </x:c>
      <x:c r="B807" t="str">
        <x:v>40870806</x:v>
      </x:c>
      <x:c r="C807" t="str">
        <x:v>2024-08-20</x:v>
      </x:c>
      <x:c r="D807" t="str">
        <x:v>2024-08-20</x:v>
      </x:c>
      <x:c r="E807" t="str">
        <x:v>2024-08-25</x:v>
      </x:c>
      <x:c r="F807" t="str">
        <x:v>U400-DEETHANIZER-500</x:v>
      </x:c>
      <x:c r="G807" t="str">
        <x:v>E-503</x:v>
      </x:c>
      <x:c r="H807" t="str">
        <x:v>feed bottoms exchanger</x:v>
      </x:c>
      <x:c r="I807" t="str">
        <x:v>exchanger</x:v>
      </x:c>
      <x:c r="J807" t="str">
        <x:v>P2</x:v>
      </x:c>
      <x:c r="K807" t="str">
        <x:v>COMP</x:v>
      </x:c>
      <x:c r="L807" t="str">
        <x:v>E&amp;I</x:v>
      </x:c>
      <x:c r="M807" t="str">
        <x:v>feed_flow_step</x:v>
      </x:c>
      <x:c r="N807" t="str">
        <x:v>tube fouling</x:v>
      </x:c>
      <x:c r="O807" t="str">
        <x:v>FOULING</x:v>
      </x:c>
      <x:c r="P807" t="str">
        <x:v>PROCESS</x:v>
      </x:c>
      <x:c r="Q807" t="str">
        <x:v>N</x:v>
      </x:c>
      <x:c r="R807" t="str">
        <x:v>17.5</x:v>
      </x:c>
      <x:c r="S807" t="str">
        <x:v>5591.16</x:v>
      </x:c>
      <x:c r="T807" t="str">
        <x:v>chk E-503 - tube fouling frm ops</x:v>
      </x:c>
      <x:c r="U807" t="str">
        <x:v>A shift called for E-503 feed bottoms exchanger, lvl swing seen during feed flow step. Foud tube fouling; duty low, delta t poor. changed gasket and boxed up. no leak at handover. notif made by ops, maint attended same shift.</x:v>
      </x:c>
    </x:row>
    <x:row r="808" ht="15" hidden="0" customHeight="1">
      <x:c r="A808" t="str">
        <x:v>10450807</x:v>
      </x:c>
      <x:c r="B808" t="str">
        <x:v>40870807</x:v>
      </x:c>
      <x:c r="C808" t="str">
        <x:v>2024-08-25</x:v>
      </x:c>
      <x:c r="D808" t="str">
        <x:v>2024-08-25</x:v>
      </x:c>
      <x:c r="E808" t="str">
        <x:v>2024-08-27</x:v>
      </x:c>
      <x:c r="F808" t="str">
        <x:v>U400-DEETHANIZER-500</x:v>
      </x:c>
      <x:c r="G808" t="str">
        <x:v>T-501</x:v>
      </x:c>
      <x:c r="H808" t="str">
        <x:v>deethanizer column</x:v>
      </x:c>
      <x:c r="I808" t="str">
        <x:v>column</x:v>
      </x:c>
      <x:c r="J808" t="str">
        <x:v>P3</x:v>
      </x:c>
      <x:c r="K808" t="str">
        <x:v>CLSD</x:v>
      </x:c>
      <x:c r="L808" t="str">
        <x:v>ANLYZR</x:v>
      </x:c>
      <x:c r="M808" t="str">
        <x:v>feed_composition_shift</x:v>
      </x:c>
      <x:c r="N808" t="str">
        <x:v>weeping flange</x:v>
      </x:c>
      <x:c r="O808" t="str">
        <x:v>LEAK</x:v>
      </x:c>
      <x:c r="P808" t="str">
        <x:v>GASKET</x:v>
      </x:c>
      <x:c r="Q808" t="str">
        <x:v>N</x:v>
      </x:c>
      <x:c r="R808" t="str">
        <x:v>12.3</x:v>
      </x:c>
      <x:c r="S808" t="str">
        <x:v>4017.38</x:v>
      </x:c>
      <x:c r="T808" t="str">
        <x:v>T-501 weeping flange asap</x:v>
      </x:c>
      <x:c r="U808" t="str">
        <x:v>B shift called for T-501 deethanizer column, btm heavy seen during feed composition shift. Foud weeping flange; manway/flange seep. changed gasket and boxed up. ops says ok for now. notif made by ops, maint attended same shift.</x:v>
      </x:c>
    </x:row>
    <x:row r="809" ht="15" hidden="0" customHeight="1">
      <x:c r="A809" t="str">
        <x:v>10450808</x:v>
      </x:c>
      <x:c r="B809" t="str">
        <x:v>40870808</x:v>
      </x:c>
      <x:c r="C809" t="str">
        <x:v>2024-08-23</x:v>
      </x:c>
      <x:c r="D809" t="str">
        <x:v>2024-08-23</x:v>
      </x:c>
      <x:c r="E809" t="str">
        <x:v>2024-09-06</x:v>
      </x:c>
      <x:c r="F809" t="str">
        <x:v>U400-DEETHANIZER-500</x:v>
      </x:c>
      <x:c r="G809" t="str">
        <x:v>LV-502</x:v>
      </x:c>
      <x:c r="H809" t="str">
        <x:v>bottoms level valve</x:v>
      </x:c>
      <x:c r="I809" t="str">
        <x:v>control_valve</x:v>
      </x:c>
      <x:c r="J809" t="str">
        <x:v>P3</x:v>
      </x:c>
      <x:c r="K809" t="str">
        <x:v>COMP</x:v>
      </x:c>
      <x:c r="L809" t="str">
        <x:v>VALVE</x:v>
      </x:c>
      <x:c r="M809" t="str">
        <x:v>valve_stiction</x:v>
      </x:c>
      <x:c r="N809" t="str">
        <x:v>stiction</x:v>
      </x:c>
      <x:c r="O809" t="str">
        <x:v>STICK</x:v>
      </x:c>
      <x:c r="P809" t="str">
        <x:v>PACKING</x:v>
      </x:c>
      <x:c r="Q809" t="str">
        <x:v>N</x:v>
      </x:c>
      <x:c r="R809" t="str">
        <x:v>4.7</x:v>
      </x:c>
      <x:c r="S809" t="str">
        <x:v>5608.05</x:v>
      </x:c>
      <x:c r="T809" t="str">
        <x:v>LV-502 stiction again, prod upset</x:v>
      </x:c>
      <x:c r="U809" t="str">
        <x:v>days called for LV-502 bottoms level valve, position bad seen during valve stiction. Foud stiction; stem sticky and pos err. reset trip and monitored for 2 hrs. need watch next feed swing. notif made by ops, maint attended same shift.</x:v>
      </x:c>
    </x:row>
    <x:row r="810" ht="15" hidden="0" customHeight="1">
      <x:c r="A810" t="str">
        <x:v>10450809</x:v>
      </x:c>
      <x:c r="B810" t="str">
        <x:v>40870809</x:v>
      </x:c>
      <x:c r="C810" t="str">
        <x:v>2024-08-28</x:v>
      </x:c>
      <x:c r="D810" t="str">
        <x:v>2024-08-29</x:v>
      </x:c>
      <x:c r="E810" t="str">
        <x:v>2024-08-31</x:v>
      </x:c>
      <x:c r="F810" t="str">
        <x:v>U400-DEETHANIZER-500</x:v>
      </x:c>
      <x:c r="G810" t="str">
        <x:v>TT-501B</x:v>
      </x:c>
      <x:c r="H810" t="str">
        <x:v>sensitive tray temperature tx</x:v>
      </x:c>
      <x:c r="I810" t="str">
        <x:v>instrument</x:v>
      </x:c>
      <x:c r="J810" t="str">
        <x:v>P3</x:v>
      </x:c>
      <x:c r="K810" t="str">
        <x:v>TECO</x:v>
      </x:c>
      <x:c r="L810" t="str">
        <x:v>E&amp;I</x:v>
      </x:c>
      <x:c r="M810" t="str">
        <x:v>valve_stiction</x:v>
      </x:c>
      <x:c r="N810" t="str">
        <x:v>loose wire</x:v>
      </x:c>
      <x:c r="O810" t="str">
        <x:v>SIGNAL</x:v>
      </x:c>
      <x:c r="P810" t="str">
        <x:v>ELEC</x:v>
      </x:c>
      <x:c r="Q810" t="str">
        <x:v>N</x:v>
      </x:c>
      <x:c r="R810" t="str">
        <x:v>3.4</x:v>
      </x:c>
      <x:c r="S810" t="str">
        <x:v>2161.35</x:v>
      </x:c>
      <x:c r="T810" t="str">
        <x:v>chk TT-501B - loose wire frm ops</x:v>
      </x:c>
      <x:c r="U810" t="str">
        <x:v>night called for TT-501B sensitive tray temperature tx, loop cycling seen during valve stiction. Foud loose wire; term loose. flushed impulse/sample line. no leak at handover. notif made by ops, maint attended same shift.</x:v>
      </x:c>
    </x:row>
    <x:row r="811" ht="15" hidden="0" customHeight="1">
      <x:c r="A811" t="str">
        <x:v>10450810</x:v>
      </x:c>
      <x:c r="B811" t="str">
        <x:v>40870810</x:v>
      </x:c>
      <x:c r="C811" t="str">
        <x:v>2024-08-28</x:v>
      </x:c>
      <x:c r="D811" t="str">
        <x:v>2024-08-30</x:v>
      </x:c>
      <x:c r="E811" t="str">
        <x:v>2024-08-30</x:v>
      </x:c>
      <x:c r="F811" t="str">
        <x:v>U400-DEETHANIZER-500</x:v>
      </x:c>
      <x:c r="G811" t="str">
        <x:v>TT-503</x:v>
      </x:c>
      <x:c r="H811" t="str">
        <x:v>reboiler outlet temperature tx</x:v>
      </x:c>
      <x:c r="I811" t="str">
        <x:v>instrument</x:v>
      </x:c>
      <x:c r="J811" t="str">
        <x:v>P3</x:v>
      </x:c>
      <x:c r="K811" t="str">
        <x:v>TECO</x:v>
      </x:c>
      <x:c r="L811" t="str">
        <x:v>E&amp;I</x:v>
      </x:c>
      <x:c r="M811" t="str">
        <x:v>reboiler_duty_loss</x:v>
      </x:c>
      <x:c r="N811" t="str">
        <x:v>impulse plugged</x:v>
      </x:c>
      <x:c r="O811" t="str">
        <x:v>PLUG</x:v>
      </x:c>
      <x:c r="P811" t="str">
        <x:v>PROCESS</x:v>
      </x:c>
      <x:c r="Q811" t="str">
        <x:v>N</x:v>
      </x:c>
      <x:c r="R811" t="str">
        <x:v>3.7</x:v>
      </x:c>
      <x:c r="S811" t="str">
        <x:v>2536.28</x:v>
      </x:c>
      <x:c r="T811" t="str">
        <x:v>TT-503 impulse plugged again, prod upset</x:v>
      </x:c>
      <x:c r="U811" t="str">
        <x:v>A shift called for TT-503 reboiler outlet temperature tx, c2 in btm seen during reboiler duty loss. Foud impulse plugged; tap/line dirty. reset trip and monitored for 2 hrs. readng close to dcs after job. notif made by ops, maint attended same shift.</x:v>
      </x:c>
    </x:row>
    <x:row r="812" ht="15" hidden="0" customHeight="1">
      <x:c r="A812" t="str">
        <x:v>10450811</x:v>
      </x:c>
      <x:c r="B812" t="str">
        <x:v>40870811</x:v>
      </x:c>
      <x:c r="C812" t="str">
        <x:v>2024-08-30</x:v>
      </x:c>
      <x:c r="D812" t="str">
        <x:v>2024-08-31</x:v>
      </x:c>
      <x:c r="E812" t="str">
        <x:v>2024-09-02</x:v>
      </x:c>
      <x:c r="F812" t="str">
        <x:v>U400-DEETHANIZER-500</x:v>
      </x:c>
      <x:c r="G812" t="str">
        <x:v>LV-501</x:v>
      </x:c>
      <x:c r="H812" t="str">
        <x:v>reflux drum level valve</x:v>
      </x:c>
      <x:c r="I812" t="str">
        <x:v>control_valve</x:v>
      </x:c>
      <x:c r="J812" t="str">
        <x:v>P4</x:v>
      </x:c>
      <x:c r="K812" t="str">
        <x:v>CLSD</x:v>
      </x:c>
      <x:c r="L812" t="str">
        <x:v>OPS+INST</x:v>
      </x:c>
      <x:c r="M812" t="str">
        <x:v>valve_stiction</x:v>
      </x:c>
      <x:c r="N812" t="str">
        <x:v>not stroking</x:v>
      </x:c>
      <x:c r="O812" t="str">
        <x:v>NO_TRAVEL</x:v>
      </x:c>
      <x:c r="P812" t="str">
        <x:v>ACT</x:v>
      </x:c>
      <x:c r="Q812" t="str">
        <x:v>N</x:v>
      </x:c>
      <x:c r="R812" t="str">
        <x:v>7.4</x:v>
      </x:c>
      <x:c r="S812" t="str">
        <x:v>2615.24</x:v>
      </x:c>
      <x:c r="T812" t="str">
        <x:v>LV-501 not stroking again, prod upset</x:v>
      </x:c>
      <x:c r="U812" t="str">
        <x:v>C shift called for LV-501 reflux drum level vavle, air leak seen during vavle stiction. Foud not stroking; actuator weak. replaced positioner tubing and retuned small. ops says ok for now. notif made by ops, maint attended same shift.</x:v>
      </x:c>
    </x:row>
    <x:row r="813" ht="15" hidden="0" customHeight="1">
      <x:c r="A813" t="str">
        <x:v>10450812</x:v>
      </x:c>
      <x:c r="B813" t="str">
        <x:v>40870812</x:v>
      </x:c>
      <x:c r="C813" t="str">
        <x:v>2024-08-31</x:v>
      </x:c>
      <x:c r="D813" t="str">
        <x:v>2024-08-31</x:v>
      </x:c>
      <x:c r="E813" t="str">
        <x:v>2024-08-31</x:v>
      </x:c>
      <x:c r="F813" t="str">
        <x:v>U400-DEETHANIZER-500</x:v>
      </x:c>
      <x:c r="G813" t="str">
        <x:v>E-502</x:v>
      </x:c>
      <x:c r="H813" t="str">
        <x:v>deethanizer overhead condenser</x:v>
      </x:c>
      <x:c r="I813" t="str">
        <x:v>condenser</x:v>
      </x:c>
      <x:c r="J813" t="str">
        <x:v>P3</x:v>
      </x:c>
      <x:c r="K813" t="str">
        <x:v>COMP</x:v>
      </x:c>
      <x:c r="L813" t="str">
        <x:v>E&amp;I</x:v>
      </x:c>
      <x:c r="M813" t="str">
        <x:v>condenser_fouling</x:v>
      </x:c>
      <x:c r="N813" t="str">
        <x:v>high press</x:v>
      </x:c>
      <x:c r="O813" t="str">
        <x:v>PERF</x:v>
      </x:c>
      <x:c r="P813" t="str">
        <x:v>FOUL</x:v>
      </x:c>
      <x:c r="Q813" t="str">
        <x:v>N</x:v>
      </x:c>
      <x:c r="R813" t="str">
        <x:v>2.2</x:v>
      </x:c>
      <x:c r="S813" t="str">
        <x:v>3239.01</x:v>
      </x:c>
      <x:c r="T813" t="str">
        <x:v>E-502 high press again, prod upset</x:v>
      </x:c>
      <x:c r="U813" t="str">
        <x:v>days called for E-502 deethanizer overhead condenser, high ovhd press seen during condenser fouling. Foud high press; condensing duty poor. changed gasket and boxed up. no leak at handover. notif made by ops, maint attended same shift.</x:v>
      </x:c>
    </x:row>
    <x:row r="814" ht="15" hidden="0" customHeight="1">
      <x:c r="A814" t="str">
        <x:v>10450813</x:v>
      </x:c>
      <x:c r="B814" t="str">
        <x:v>40870813</x:v>
      </x:c>
      <x:c r="C814" t="str">
        <x:v>2024-08-29</x:v>
      </x:c>
      <x:c r="D814" t="str">
        <x:v>2024-08-29</x:v>
      </x:c>
      <x:c r="E814" t="str">
        <x:v>2024-08-30</x:v>
      </x:c>
      <x:c r="F814" t="str">
        <x:v>U400-DEETHANIZER-500</x:v>
      </x:c>
      <x:c r="G814" t="str">
        <x:v>E-503</x:v>
      </x:c>
      <x:c r="H814" t="str">
        <x:v>feed bottoms exchanger</x:v>
      </x:c>
      <x:c r="I814" t="str">
        <x:v>exchanger</x:v>
      </x:c>
      <x:c r="J814" t="str">
        <x:v>P2</x:v>
      </x:c>
      <x:c r="K814" t="str">
        <x:v>TECO</x:v>
      </x:c>
      <x:c r="L814" t="str">
        <x:v>MECH</x:v>
      </x:c>
      <x:c r="M814" t="str">
        <x:v>feed_flow_step</x:v>
      </x:c>
      <x:c r="N814" t="str">
        <x:v>plugged pass</x:v>
      </x:c>
      <x:c r="O814" t="str">
        <x:v>PLUG</x:v>
      </x:c>
      <x:c r="P814" t="str">
        <x:v>FOUL</x:v>
      </x:c>
      <x:c r="Q814" t="str">
        <x:v>Y</x:v>
      </x:c>
      <x:c r="R814" t="str">
        <x:v>12.9</x:v>
      </x:c>
      <x:c r="S814" t="str">
        <x:v>14595.47</x:v>
      </x:c>
      <x:c r="T814" t="str">
        <x:v>chk E-503 - plugged pass frm ops</x:v>
      </x:c>
      <x:c r="U814" t="str">
        <x:v>days called for E-503 feed bottoms exchanger, fic hunting seen during feed flow step. Foud plugged pass; flow restricted. History shows same complain last mnth. changed gasket and boxed up. readng close to dcs after job. notif made by ops, maint attended same shift.</x:v>
      </x:c>
    </x:row>
    <x:row r="815" ht="15" hidden="0" customHeight="1">
      <x:c r="A815" t="str">
        <x:v>10450814</x:v>
      </x:c>
      <x:c r="B815" t="str">
        <x:v>40870814</x:v>
      </x:c>
      <x:c r="C815" t="str">
        <x:v>2024-08-31</x:v>
      </x:c>
      <x:c r="D815" t="str">
        <x:v>2024-09-01</x:v>
      </x:c>
      <x:c r="E815" t="str">
        <x:v>2024-09-04</x:v>
      </x:c>
      <x:c r="F815" t="str">
        <x:v>U400-DEETHANIZER-500</x:v>
      </x:c>
      <x:c r="G815" t="str">
        <x:v>PV-501</x:v>
      </x:c>
      <x:c r="H815" t="str">
        <x:v>column pressure control valve</x:v>
      </x:c>
      <x:c r="I815" t="str">
        <x:v>control_valve</x:v>
      </x:c>
      <x:c r="J815" t="str">
        <x:v>P3</x:v>
      </x:c>
      <x:c r="K815" t="str">
        <x:v>TECO</x:v>
      </x:c>
      <x:c r="L815" t="str">
        <x:v>INST</x:v>
      </x:c>
      <x:c r="M815" t="str">
        <x:v>pressure_control_fault</x:v>
      </x:c>
      <x:c r="N815" t="str">
        <x:v>stiction</x:v>
      </x:c>
      <x:c r="O815" t="str">
        <x:v>STICK</x:v>
      </x:c>
      <x:c r="P815" t="str">
        <x:v>PACKING</x:v>
      </x:c>
      <x:c r="Q815" t="str">
        <x:v>N</x:v>
      </x:c>
      <x:c r="R815" t="str">
        <x:v>15.2</x:v>
      </x:c>
      <x:c r="S815" t="str">
        <x:v>6368.81</x:v>
      </x:c>
      <x:c r="T815" t="str">
        <x:v>PV-501 press spike, stiction</x:v>
      </x:c>
      <x:c r="U815" t="str">
        <x:v>days called for PV-501 colmn pressure ctrl valve, flare valve checked seen during pressure ctrl fault. Foud stiction; stem sticky and pos err. Tag plate dirty, confirmd by line up with panel. reset trip and monitored for 2 hrs. need watch next feed swing. notif made by ops, maint attended same shift.</x:v>
      </x:c>
    </x:row>
    <x:row r="816" ht="15" hidden="0" customHeight="1">
      <x:c r="A816" t="str">
        <x:v>10450815</x:v>
      </x:c>
      <x:c r="B816" t="str">
        <x:v>40870815</x:v>
      </x:c>
      <x:c r="C816" t="str">
        <x:v>2024-09-03</x:v>
      </x:c>
      <x:c r="D816" t="str">
        <x:v>2024-09-03</x:v>
      </x:c>
      <x:c r="E816" t="str">
        <x:v>2024-09-03</x:v>
      </x:c>
      <x:c r="F816" t="str">
        <x:v>U400-DEETHANIZER-500</x:v>
      </x:c>
      <x:c r="G816" t="str">
        <x:v>TV-502</x:v>
      </x:c>
      <x:c r="H816" t="str">
        <x:v>condenser cooling valve</x:v>
      </x:c>
      <x:c r="I816" t="str">
        <x:v>control_valve</x:v>
      </x:c>
      <x:c r="J816" t="str">
        <x:v>P3</x:v>
      </x:c>
      <x:c r="K816" t="str">
        <x:v>CLSD</x:v>
      </x:c>
      <x:c r="L816" t="str">
        <x:v>VALVE</x:v>
      </x:c>
      <x:c r="M816" t="str">
        <x:v>valve_stiction</x:v>
      </x:c>
      <x:c r="N816" t="str">
        <x:v>hunting loop</x:v>
      </x:c>
      <x:c r="O816" t="str">
        <x:v>CTRL_OSC</x:v>
      </x:c>
      <x:c r="P816" t="str">
        <x:v>TUNE</x:v>
      </x:c>
      <x:c r="Q816" t="str">
        <x:v>N</x:v>
      </x:c>
      <x:c r="R816" t="str">
        <x:v>11.3</x:v>
      </x:c>
      <x:c r="S816" t="str">
        <x:v>1186.39</x:v>
      </x:c>
      <x:c r="T816" t="str">
        <x:v>chk TV-502 - hunting loop frm ops</x:v>
      </x:c>
      <x:c r="U816" t="str">
        <x:v>B shift called for TV-502 condenser cooling valve, air leak seen during valve stiction. Foud hunting loop; bad response after upset. swapped to standby and repaired. unit stable now. notif made by ops, maint attended same shift.</x:v>
      </x:c>
    </x:row>
    <x:row r="817" ht="15" hidden="0" customHeight="1">
      <x:c r="A817" t="str">
        <x:v>10450816</x:v>
      </x:c>
      <x:c r="B817" t="str">
        <x:v>40870816</x:v>
      </x:c>
      <x:c r="C817" t="str">
        <x:v>2024-09-03</x:v>
      </x:c>
      <x:c r="D817" t="str">
        <x:v>2024-09-03</x:v>
      </x:c>
      <x:c r="E817" t="str">
        <x:v>2024-09-05</x:v>
      </x:c>
      <x:c r="F817" t="str">
        <x:v>U400-DEETHANIZER-500</x:v>
      </x:c>
      <x:c r="G817" t="str">
        <x:v>FV-501</x:v>
      </x:c>
      <x:c r="H817" t="str">
        <x:v>feed flow control valve</x:v>
      </x:c>
      <x:c r="I817" t="str">
        <x:v>control_valve</x:v>
      </x:c>
      <x:c r="J817" t="str">
        <x:v>P3</x:v>
      </x:c>
      <x:c r="K817" t="str">
        <x:v>TECO</x:v>
      </x:c>
      <x:c r="L817" t="str">
        <x:v>ROT</x:v>
      </x:c>
      <x:c r="M817" t="str">
        <x:v>normal_wear</x:v>
      </x:c>
      <x:c r="N817" t="str">
        <x:v>passing</x:v>
      </x:c>
      <x:c r="O817" t="str">
        <x:v>LEAK_BY</x:v>
      </x:c>
      <x:c r="P817" t="str">
        <x:v>SEAT</x:v>
      </x:c>
      <x:c r="Q817" t="str">
        <x:v>N</x:v>
      </x:c>
      <x:c r="R817" t="str">
        <x:v>8.2</x:v>
      </x:c>
      <x:c r="S817" t="str">
        <x:v>5582.3</x:v>
      </x:c>
      <x:c r="T817" t="str">
        <x:v>FV-501 leak, passing</x:v>
      </x:c>
      <x:c r="U817" t="str">
        <x:v>C shift called for FV-501 feed flow control vavle, bad reading seen during normal wear. Foud passing; seat leak by. swapped to standby and repaired. unit stable now. notif made by ops, maint attended same shift.</x:v>
      </x:c>
    </x:row>
    <x:row r="818" ht="15" hidden="0" customHeight="1">
      <x:c r="A818" t="str">
        <x:v>10450817</x:v>
      </x:c>
      <x:c r="B818" t="str">
        <x:v>40870817</x:v>
      </x:c>
      <x:c r="C818" t="str">
        <x:v>2024-09-06</x:v>
      </x:c>
      <x:c r="D818" t="str">
        <x:v>2024-09-07</x:v>
      </x:c>
      <x:c r="E818" t="str">
        <x:v>2024-09-09</x:v>
      </x:c>
      <x:c r="F818" t="str">
        <x:v>U400-DEETHANIZER-500</x:v>
      </x:c>
      <x:c r="G818" t="str">
        <x:v>LT-502</x:v>
      </x:c>
      <x:c r="H818" t="str">
        <x:v>column bottom level tx</x:v>
      </x:c>
      <x:c r="I818" t="str">
        <x:v>instrument</x:v>
      </x:c>
      <x:c r="J818" t="str">
        <x:v>P1</x:v>
      </x:c>
      <x:c r="K818" t="str">
        <x:v>TECO</x:v>
      </x:c>
      <x:c r="L818" t="str">
        <x:v>OPS+INST</x:v>
      </x:c>
      <x:c r="M818" t="str">
        <x:v>condenser_fouling</x:v>
      </x:c>
      <x:c r="N818" t="str">
        <x:v>loose wire</x:v>
      </x:c>
      <x:c r="O818" t="str">
        <x:v>SIGNAL</x:v>
      </x:c>
      <x:c r="P818" t="str">
        <x:v>ELEC</x:v>
      </x:c>
      <x:c r="Q818" t="str">
        <x:v>N</x:v>
      </x:c>
      <x:c r="R818" t="str">
        <x:v>2.5</x:v>
      </x:c>
      <x:c r="S818" t="str">
        <x:v>4972.62</x:v>
      </x:c>
      <x:c r="T818" t="str">
        <x:v>LT-502 loose wire again, prod upset</x:v>
      </x:c>
      <x:c r="U818" t="str">
        <x:v>A shift called for LT-502 column bottom level tx, high ovhd press seen during condenser fouling. Foud loose wire; term loose. changed gasket and boxed up. need watch next feed swing. notif made by ops, maint attended same shift.</x:v>
      </x:c>
    </x:row>
    <x:row r="819" ht="15" hidden="0" customHeight="1">
      <x:c r="A819" t="str">
        <x:v>10450818</x:v>
      </x:c>
      <x:c r="B819" t="str">
        <x:v>40870818</x:v>
      </x:c>
      <x:c r="C819" t="str">
        <x:v>2024-09-10</x:v>
      </x:c>
      <x:c r="D819" t="str">
        <x:v>2024-09-10</x:v>
      </x:c>
      <x:c r="E819" t="str">
        <x:v>2024-09-11</x:v>
      </x:c>
      <x:c r="F819" t="str">
        <x:v>U400-DEETHANIZER-500</x:v>
      </x:c>
      <x:c r="G819" t="str">
        <x:v>FV-502</x:v>
      </x:c>
      <x:c r="H819" t="str">
        <x:v>reflux flow control valve</x:v>
      </x:c>
      <x:c r="I819" t="str">
        <x:v>control_valve</x:v>
      </x:c>
      <x:c r="J819" t="str">
        <x:v>P2</x:v>
      </x:c>
      <x:c r="K819" t="str">
        <x:v>COMP</x:v>
      </x:c>
      <x:c r="L819" t="str">
        <x:v>E&amp;I</x:v>
      </x:c>
      <x:c r="M819" t="str">
        <x:v>reflux_pump_degradation</x:v>
      </x:c>
      <x:c r="N819" t="str">
        <x:v>air leak</x:v>
      </x:c>
      <x:c r="O819" t="str">
        <x:v>AIR_LEAK</x:v>
      </x:c>
      <x:c r="P819" t="str">
        <x:v>TUBING</x:v>
      </x:c>
      <x:c r="Q819" t="str">
        <x:v>Y</x:v>
      </x:c>
      <x:c r="R819" t="str">
        <x:v>14.1</x:v>
      </x:c>
      <x:c r="S819" t="str">
        <x:v>903.94</x:v>
      </x:c>
      <x:c r="T819" t="str">
        <x:v>FV-502 air leak pls chk</x:v>
      </x:c>
      <x:c r="U819" t="str">
        <x:v>A shift called for FV-502 reflux flow control valve, seal weep seen during reflux pump degradation. Foud air leak; positioner supply drop. tightened fittings, leak test ok. still little hunting but acceptable. notif made by ops, maint attended same shift.</x:v>
      </x:c>
    </x:row>
    <x:row r="820" ht="15" hidden="0" customHeight="1">
      <x:c r="A820" t="str">
        <x:v>10450819</x:v>
      </x:c>
      <x:c r="B820" t="str">
        <x:v>40870819</x:v>
      </x:c>
      <x:c r="C820" t="str">
        <x:v>2024-09-10</x:v>
      </x:c>
      <x:c r="D820" t="str">
        <x:v>2024-09-11</x:v>
      </x:c>
      <x:c r="E820" t="str">
        <x:v>2024-09-12</x:v>
      </x:c>
      <x:c r="F820" t="str">
        <x:v>U400-DEETHANIZER-500</x:v>
      </x:c>
      <x:c r="G820" t="str">
        <x:v>T-501</x:v>
      </x:c>
      <x:c r="H820" t="str">
        <x:v>deethanizer column</x:v>
      </x:c>
      <x:c r="I820" t="str">
        <x:v>column</x:v>
      </x:c>
      <x:c r="J820" t="str">
        <x:v>P3</x:v>
      </x:c>
      <x:c r="K820" t="str">
        <x:v>CLSD</x:v>
      </x:c>
      <x:c r="L820" t="str">
        <x:v>OPS+INST</x:v>
      </x:c>
      <x:c r="M820" t="str">
        <x:v>feed_flow_step</x:v>
      </x:c>
      <x:c r="N820" t="str">
        <x:v>tray temp bad</x:v>
      </x:c>
      <x:c r="O820" t="str">
        <x:v>TEMP_DEV</x:v>
      </x:c>
      <x:c r="P820" t="str">
        <x:v>PROCESS</x:v>
      </x:c>
      <x:c r="Q820" t="str">
        <x:v>N</x:v>
      </x:c>
      <x:c r="R820" t="str">
        <x:v>9.8</x:v>
      </x:c>
      <x:c r="S820" t="str">
        <x:v>3371.54</x:v>
      </x:c>
      <x:c r="T820" t="str">
        <x:v>T-501 c2 recov down, tray temp bad</x:v>
      </x:c>
      <x:c r="U820" t="str">
        <x:v>B shift called for T-501 deethanizer column, lvl swing seen during feed flow step. Foud tray temp bad; profile not normal. cleaned and put back online. temp repair only, plan shutdown job. notif made by ops, maint attended same shift.</x:v>
      </x:c>
    </x:row>
    <x:row r="821" ht="15" hidden="0" customHeight="1">
      <x:c r="A821" t="str">
        <x:v>10450820</x:v>
      </x:c>
      <x:c r="B821" t="str">
        <x:v>40870820</x:v>
      </x:c>
      <x:c r="C821" t="str">
        <x:v>2024-09-13</x:v>
      </x:c>
      <x:c r="D821" t="str">
        <x:v>2024-09-13</x:v>
      </x:c>
      <x:c r="E821" t="str">
        <x:v>2024-09-14</x:v>
      </x:c>
      <x:c r="F821" t="str">
        <x:v>U400-DEETHANIZER-500</x:v>
      </x:c>
      <x:c r="G821" t="str">
        <x:v>E-502</x:v>
      </x:c>
      <x:c r="H821" t="str">
        <x:v>deethanizer overhead condenser</x:v>
      </x:c>
      <x:c r="I821" t="str">
        <x:v>condenser</x:v>
      </x:c>
      <x:c r="J821" t="str">
        <x:v>P3</x:v>
      </x:c>
      <x:c r="K821" t="str">
        <x:v>TECO</x:v>
      </x:c>
      <x:c r="L821" t="str">
        <x:v>OPS+MECH</x:v>
      </x:c>
      <x:c r="M821" t="str">
        <x:v>condenser_fouling</x:v>
      </x:c>
      <x:c r="N821" t="str">
        <x:v>high press</x:v>
      </x:c>
      <x:c r="O821" t="str">
        <x:v>PERF</x:v>
      </x:c>
      <x:c r="P821" t="str">
        <x:v>FOUL</x:v>
      </x:c>
      <x:c r="Q821" t="str">
        <x:v>N</x:v>
      </x:c>
      <x:c r="R821" t="str">
        <x:v>13.9</x:v>
      </x:c>
      <x:c r="S821" t="str">
        <x:v>10327.83</x:v>
      </x:c>
      <x:c r="T821" t="str">
        <x:v>E-502 high press again, prod upset</x:v>
      </x:c>
      <x:c r="U821" t="str">
        <x:v>night called for E-502 deethanizer overhead condenser, cw dt low seen during condenser fouling. Foud high press; condensing duty poor. flushed impulse/sample line. readng close to dcs after job. notif made by ops, maint attended same shift.</x:v>
      </x:c>
    </x:row>
    <x:row r="822" ht="15" hidden="0" customHeight="1">
      <x:c r="A822" t="str">
        <x:v>10450821</x:v>
      </x:c>
      <x:c r="B822" t="str">
        <x:v>40870821</x:v>
      </x:c>
      <x:c r="C822" t="str">
        <x:v>2024-09-14</x:v>
      </x:c>
      <x:c r="D822" t="str">
        <x:v>2024-09-14</x:v>
      </x:c>
      <x:c r="E822" t="str">
        <x:v>2024-09-14</x:v>
      </x:c>
      <x:c r="F822" t="str">
        <x:v>U400-DEETHANIZER-500</x:v>
      </x:c>
      <x:c r="G822" t="str">
        <x:v>TV-501</x:v>
      </x:c>
      <x:c r="H822" t="str">
        <x:v>reboiler hot medium valve</x:v>
      </x:c>
      <x:c r="I822" t="str">
        <x:v>control_valve</x:v>
      </x:c>
      <x:c r="J822" t="str">
        <x:v>P2</x:v>
      </x:c>
      <x:c r="K822" t="str">
        <x:v>CLSD</x:v>
      </x:c>
      <x:c r="L822" t="str">
        <x:v>OPS+MECH</x:v>
      </x:c>
      <x:c r="M822" t="str">
        <x:v>feed_temperature_ramp</x:v>
      </x:c>
      <x:c r="N822" t="str">
        <x:v>air leak</x:v>
      </x:c>
      <x:c r="O822" t="str">
        <x:v>AIR_LEAK</x:v>
      </x:c>
      <x:c r="P822" t="str">
        <x:v>TUBING</x:v>
      </x:c>
      <x:c r="Q822" t="str">
        <x:v>N</x:v>
      </x:c>
      <x:c r="R822" t="str">
        <x:v>14.9</x:v>
      </x:c>
      <x:c r="S822" t="str">
        <x:v>2256.88</x:v>
      </x:c>
      <x:c r="T822" t="str">
        <x:v>TV-501 tray temp drift, air leak</x:v>
      </x:c>
      <x:c r="U822" t="str">
        <x:v>A shift called for TV-501 reboiler hot medium vavle, spec off seen during feed temperature ramp. Foud air leak; positioner supply drop. stroke tested, response better. no leak at handover. notif made by ops, maint attended same shift.</x:v>
      </x:c>
    </x:row>
    <x:row r="823" ht="15" hidden="0" customHeight="1">
      <x:c r="A823" t="str">
        <x:v>10450822</x:v>
      </x:c>
      <x:c r="B823" t="str">
        <x:v>40870822</x:v>
      </x:c>
      <x:c r="C823" t="str">
        <x:v>2024-09-16</x:v>
      </x:c>
      <x:c r="D823" t="str">
        <x:v>2024-09-17</x:v>
      </x:c>
      <x:c r="E823" t="str">
        <x:v>2024-09-18</x:v>
      </x:c>
      <x:c r="F823" t="str">
        <x:v>U400-DEETHANIZER-500</x:v>
      </x:c>
      <x:c r="G823" t="str">
        <x:v>FV-502</x:v>
      </x:c>
      <x:c r="H823" t="str">
        <x:v>reflux flow control valve</x:v>
      </x:c>
      <x:c r="I823" t="str">
        <x:v>control_valve</x:v>
      </x:c>
      <x:c r="J823" t="str">
        <x:v>P3</x:v>
      </x:c>
      <x:c r="K823" t="str">
        <x:v>TECO</x:v>
      </x:c>
      <x:c r="L823" t="str">
        <x:v>MECH</x:v>
      </x:c>
      <x:c r="M823" t="str">
        <x:v>reflux_pump_degradation</x:v>
      </x:c>
      <x:c r="N823" t="str">
        <x:v>hunting loop</x:v>
      </x:c>
      <x:c r="O823" t="str">
        <x:v>CTRL_OSC</x:v>
      </x:c>
      <x:c r="P823" t="str">
        <x:v>TUNE</x:v>
      </x:c>
      <x:c r="Q823" t="str">
        <x:v>N</x:v>
      </x:c>
      <x:c r="R823" t="str">
        <x:v>12.4</x:v>
      </x:c>
      <x:c r="S823" t="str">
        <x:v>5826.64</x:v>
      </x:c>
      <x:c r="T823" t="str">
        <x:v>FV-502 hunting loop noisy</x:v>
      </x:c>
      <x:c r="U823" t="str">
        <x:v>days called for FV-502 reflux flow control valve, disch press low seen during reflux pump degradation. Foud hunting loop; bad response after upset. changed gasket and boxed up. need watch next feed swing. notif made by ops, maint attended same shift.</x:v>
      </x:c>
    </x:row>
    <x:row r="824" ht="15" hidden="0" customHeight="1">
      <x:c r="A824" t="str">
        <x:v>10450823</x:v>
      </x:c>
      <x:c r="B824" t="str">
        <x:v>40870823</x:v>
      </x:c>
      <x:c r="C824" t="str">
        <x:v>2024-09-16</x:v>
      </x:c>
      <x:c r="D824" t="str">
        <x:v>2024-09-17</x:v>
      </x:c>
      <x:c r="E824" t="str">
        <x:v>2024-09-17</x:v>
      </x:c>
      <x:c r="F824" t="str">
        <x:v>U400-DEETHANIZER-500</x:v>
      </x:c>
      <x:c r="G824" t="str">
        <x:v>TV-501</x:v>
      </x:c>
      <x:c r="H824" t="str">
        <x:v>reboiler hot medium valve</x:v>
      </x:c>
      <x:c r="I824" t="str">
        <x:v>control_valve</x:v>
      </x:c>
      <x:c r="J824" t="str">
        <x:v>P3</x:v>
      </x:c>
      <x:c r="K824" t="str">
        <x:v>COMP</x:v>
      </x:c>
      <x:c r="L824" t="str">
        <x:v>ROT</x:v>
      </x:c>
      <x:c r="M824" t="str">
        <x:v>reboiler_duty_loss</x:v>
      </x:c>
      <x:c r="N824" t="str">
        <x:v>not stroking</x:v>
      </x:c>
      <x:c r="O824" t="str">
        <x:v>NO_TRAVEL</x:v>
      </x:c>
      <x:c r="P824" t="str">
        <x:v>ACT</x:v>
      </x:c>
      <x:c r="Q824" t="str">
        <x:v>N</x:v>
      </x:c>
      <x:c r="R824" t="str">
        <x:v>17.2</x:v>
      </x:c>
      <x:c r="S824" t="str">
        <x:v>2569.07</x:v>
      </x:c>
      <x:c r="T824" t="str">
        <x:v>TV-501 low heat, not stroking</x:v>
      </x:c>
      <x:c r="U824" t="str">
        <x:v>B shift called for TV-501 reboiler hot medium valve, steam/hm valve no resp seen during reboiler duty loss. Foud not stroking; actuator weak. swapped to standby and repaired. need watch next feed swing. notif made by ops, maint attended same shift.</x:v>
      </x:c>
    </x:row>
    <x:row r="825" ht="15" hidden="0" customHeight="1">
      <x:c r="A825" t="str">
        <x:v>10450824</x:v>
      </x:c>
      <x:c r="B825" t="str">
        <x:v>40870824</x:v>
      </x:c>
      <x:c r="C825" t="str">
        <x:v>2024-09-17</x:v>
      </x:c>
      <x:c r="D825" t="str">
        <x:v>2024-09-18</x:v>
      </x:c>
      <x:c r="E825" t="str">
        <x:v>2024-09-18</x:v>
      </x:c>
      <x:c r="F825" t="str">
        <x:v>U400-DEETHANIZER-500</x:v>
      </x:c>
      <x:c r="G825" t="str">
        <x:v>E-501</x:v>
      </x:c>
      <x:c r="H825" t="str">
        <x:v>deethanizer reboiler</x:v>
      </x:c>
      <x:c r="I825" t="str">
        <x:v>reboiler</x:v>
      </x:c>
      <x:c r="J825" t="str">
        <x:v>P2</x:v>
      </x:c>
      <x:c r="K825" t="str">
        <x:v>COMP</x:v>
      </x:c>
      <x:c r="L825" t="str">
        <x:v>OPS+INST</x:v>
      </x:c>
      <x:c r="M825" t="str">
        <x:v>reboiler_duty_loss</x:v>
      </x:c>
      <x:c r="N825" t="str">
        <x:v>rb leak</x:v>
      </x:c>
      <x:c r="O825" t="str">
        <x:v>LEAK</x:v>
      </x:c>
      <x:c r="P825" t="str">
        <x:v>GASKET</x:v>
      </x:c>
      <x:c r="Q825" t="str">
        <x:v>N</x:v>
      </x:c>
      <x:c r="R825" t="str">
        <x:v>9.5</x:v>
      </x:c>
      <x:c r="S825" t="str">
        <x:v>3126.35</x:v>
      </x:c>
      <x:c r="T825" t="str">
        <x:v>E-501 rb leak pls chk</x:v>
      </x:c>
      <x:c r="U825" t="str">
        <x:v>days called for E-501 deethanizer reboiler, rb circ cold seen during reboiler duty loss. Foud rb leak; channel flange weep. No spare in store at first, used refurb one from shop. cleaned and put back online. need watch next feed swing. notif made by ops, maint attended same shift.</x:v>
      </x:c>
    </x:row>
    <x:row r="826" ht="15" hidden="0" customHeight="1">
      <x:c r="A826" t="str">
        <x:v>10450825</x:v>
      </x:c>
      <x:c r="B826" t="str">
        <x:v>40870825</x:v>
      </x:c>
      <x:c r="C826" t="str">
        <x:v>2024-09-19</x:v>
      </x:c>
      <x:c r="D826" t="str">
        <x:v>2024-09-19</x:v>
      </x:c>
      <x:c r="E826" t="str">
        <x:v>2024-09-20</x:v>
      </x:c>
      <x:c r="F826" t="str">
        <x:v>U400-DEETHANIZER-500</x:v>
      </x:c>
      <x:c r="G826" t="str">
        <x:v>LV-501</x:v>
      </x:c>
      <x:c r="H826" t="str">
        <x:v>reflux drum level valve</x:v>
      </x:c>
      <x:c r="I826" t="str">
        <x:v>control_valve</x:v>
      </x:c>
      <x:c r="J826" t="str">
        <x:v>P1</x:v>
      </x:c>
      <x:c r="K826" t="str">
        <x:v>CLSD</x:v>
      </x:c>
      <x:c r="L826" t="str">
        <x:v>VALVE</x:v>
      </x:c>
      <x:c r="M826" t="str">
        <x:v>reflux_pump_degradation</x:v>
      </x:c>
      <x:c r="N826" t="str">
        <x:v>not stroking</x:v>
      </x:c>
      <x:c r="O826" t="str">
        <x:v>NO_TRAVEL</x:v>
      </x:c>
      <x:c r="P826" t="str">
        <x:v>ACT</x:v>
      </x:c>
      <x:c r="Q826" t="str">
        <x:v>N</x:v>
      </x:c>
      <x:c r="R826" t="str">
        <x:v>16.5</x:v>
      </x:c>
      <x:c r="S826" t="str">
        <x:v>1642.64</x:v>
      </x:c>
      <x:c r="T826" t="str">
        <x:v>chk LV-501 - not stroking frm ops</x:v>
      </x:c>
      <x:c r="U826" t="str">
        <x:v>C shift called for LV-501 reflux drum level valve, pump vib seen during reflux pump degradation. Foud not stroking; actuator weak. History shows same complain last mnth. changed gasket and boxed up. ops says ok for now. notif made by ops, maint attended same shift.</x:v>
      </x:c>
    </x:row>
    <x:row r="827" ht="15" hidden="0" customHeight="1">
      <x:c r="A827" t="str">
        <x:v>10450826</x:v>
      </x:c>
      <x:c r="B827" t="str">
        <x:v>40870826</x:v>
      </x:c>
      <x:c r="C827" t="str">
        <x:v>2024-09-18</x:v>
      </x:c>
      <x:c r="D827" t="str">
        <x:v>2024-09-19</x:v>
      </x:c>
      <x:c r="E827" t="str">
        <x:v>2024-09-21</x:v>
      </x:c>
      <x:c r="F827" t="str">
        <x:v>U400-DEETHANIZER-500</x:v>
      </x:c>
      <x:c r="G827" t="str">
        <x:v>TV-501</x:v>
      </x:c>
      <x:c r="H827" t="str">
        <x:v>reboiler hot medium valve</x:v>
      </x:c>
      <x:c r="I827" t="str">
        <x:v>control_valve</x:v>
      </x:c>
      <x:c r="J827" t="str">
        <x:v>P3</x:v>
      </x:c>
      <x:c r="K827" t="str">
        <x:v>TECO</x:v>
      </x:c>
      <x:c r="L827" t="str">
        <x:v>VALVE</x:v>
      </x:c>
      <x:c r="M827" t="str">
        <x:v>reboiler_duty_loss</x:v>
      </x:c>
      <x:c r="N827" t="str">
        <x:v>air leak</x:v>
      </x:c>
      <x:c r="O827" t="str">
        <x:v>AIR_LEAK</x:v>
      </x:c>
      <x:c r="P827" t="str">
        <x:v>TUBING</x:v>
      </x:c>
      <x:c r="Q827" t="str">
        <x:v>N</x:v>
      </x:c>
      <x:c r="R827" t="str">
        <x:v>7.8</x:v>
      </x:c>
      <x:c r="S827" t="str">
        <x:v>2134.02</x:v>
      </x:c>
      <x:c r="T827" t="str">
        <x:v>TV-501 air leak again, prod upset</x:v>
      </x:c>
      <x:c r="U827" t="str">
        <x:v>A shift called for TV-501 reboiler hot medium vavle, low heat seen during reboiler duty loss. Foud air leak; positioner supply drop. No spare in store at first, used refurb one from shop. opened strainer, cleaned black sludge. still little hunting but acceptable. notif made by ops, maint attended same shift.</x:v>
      </x:c>
    </x:row>
    <x:row r="828" ht="15" hidden="0" customHeight="1">
      <x:c r="A828" t="str">
        <x:v>10450827</x:v>
      </x:c>
      <x:c r="B828" t="str">
        <x:v>40870827</x:v>
      </x:c>
      <x:c r="C828" t="str">
        <x:v>2024-09-22</x:v>
      </x:c>
      <x:c r="D828" t="str">
        <x:v>2024-09-23</x:v>
      </x:c>
      <x:c r="E828" t="str">
        <x:v>2024-09-25</x:v>
      </x:c>
      <x:c r="F828" t="str">
        <x:v>U400-DEETHANIZER-500</x:v>
      </x:c>
      <x:c r="G828" t="str">
        <x:v>LV-501</x:v>
      </x:c>
      <x:c r="H828" t="str">
        <x:v>reflux drum level valve</x:v>
      </x:c>
      <x:c r="I828" t="str">
        <x:v>control_valve</x:v>
      </x:c>
      <x:c r="J828" t="str">
        <x:v>P1</x:v>
      </x:c>
      <x:c r="K828" t="str">
        <x:v>TECO</x:v>
      </x:c>
      <x:c r="L828" t="str">
        <x:v>OPS+INST</x:v>
      </x:c>
      <x:c r="M828" t="str">
        <x:v>valve_stiction</x:v>
      </x:c>
      <x:c r="N828" t="str">
        <x:v>not stroking</x:v>
      </x:c>
      <x:c r="O828" t="str">
        <x:v>NO_TRAVEL</x:v>
      </x:c>
      <x:c r="P828" t="str">
        <x:v>ACT</x:v>
      </x:c>
      <x:c r="Q828" t="str">
        <x:v>N</x:v>
      </x:c>
      <x:c r="R828" t="str">
        <x:v>9.2</x:v>
      </x:c>
      <x:c r="S828" t="str">
        <x:v>3669.46</x:v>
      </x:c>
      <x:c r="T828" t="str">
        <x:v>LV-501 not stroking chk &amp; revert</x:v>
      </x:c>
      <x:c r="U828" t="str">
        <x:v>days called for LV-501 reflux drum level vavle, position bad seen during vavle stiction. Foud not stroking; actuator weak. opened strainer, cleaned black sludge. still little hunting but acceptable. notif made by ops, maint attended same shift.</x:v>
      </x:c>
    </x:row>
    <x:row r="829" ht="15" hidden="0" customHeight="1">
      <x:c r="A829" t="str">
        <x:v>10450828</x:v>
      </x:c>
      <x:c r="B829" t="str">
        <x:v>40870828</x:v>
      </x:c>
      <x:c r="C829" t="str">
        <x:v>2024-09-21</x:v>
      </x:c>
      <x:c r="D829" t="str">
        <x:v>2024-09-22</x:v>
      </x:c>
      <x:c r="E829" t="str">
        <x:v>2024-09-22</x:v>
      </x:c>
      <x:c r="F829" t="str">
        <x:v>U400-DEETHANIZER-500</x:v>
      </x:c>
      <x:c r="G829" t="str">
        <x:v>E-501</x:v>
      </x:c>
      <x:c r="H829" t="str">
        <x:v>deethanizer reboiler</x:v>
      </x:c>
      <x:c r="I829" t="str">
        <x:v>reboiler</x:v>
      </x:c>
      <x:c r="J829" t="str">
        <x:v>P3</x:v>
      </x:c>
      <x:c r="K829" t="str">
        <x:v>CLSD</x:v>
      </x:c>
      <x:c r="L829" t="str">
        <x:v>MECH</x:v>
      </x:c>
      <x:c r="M829" t="str">
        <x:v>reboiler_duty_loss</x:v>
      </x:c>
      <x:c r="N829" t="str">
        <x:v>low duty</x:v>
      </x:c>
      <x:c r="O829" t="str">
        <x:v>DUTY_LOSS</x:v>
      </x:c>
      <x:c r="P829" t="str">
        <x:v>UTILITY</x:v>
      </x:c>
      <x:c r="Q829" t="str">
        <x:v>N</x:v>
      </x:c>
      <x:c r="R829" t="str">
        <x:v>3.3</x:v>
      </x:c>
      <x:c r="S829" t="str">
        <x:v>8945.96</x:v>
      </x:c>
      <x:c r="T829" t="str">
        <x:v>E-501 low duty bad</x:v>
      </x:c>
      <x:c r="U829" t="str">
        <x:v>C shift called for E-501 deethanizer reboiler, rb circ cold seen during reboiler duty loss. Foud low duty; hm valve/strainer issue. No spare in store at first, used refurb one from shop. reset trip and monitored for 2 hrs. readng close to dcs after job. notif made by ops, maint attended same shift.</x:v>
      </x:c>
    </x:row>
    <x:row r="830" ht="15" hidden="0" customHeight="1">
      <x:c r="A830" t="str">
        <x:v>10450829</x:v>
      </x:c>
      <x:c r="B830" t="str">
        <x:v>40870829</x:v>
      </x:c>
      <x:c r="C830" t="str">
        <x:v>2024-09-26</x:v>
      </x:c>
      <x:c r="D830" t="str">
        <x:v>2024-09-26</x:v>
      </x:c>
      <x:c r="E830" t="str">
        <x:v>2024-09-29</x:v>
      </x:c>
      <x:c r="F830" t="str">
        <x:v>U400-DEETHANIZER-500</x:v>
      </x:c>
      <x:c r="G830" t="str">
        <x:v>AIT-502</x:v>
      </x:c>
      <x:c r="H830" t="str">
        <x:v>bottoms C3+ analyzer</x:v>
      </x:c>
      <x:c r="I830" t="str">
        <x:v>analyzer</x:v>
      </x:c>
      <x:c r="J830" t="str">
        <x:v>P3</x:v>
      </x:c>
      <x:c r="K830" t="str">
        <x:v>TECO</x:v>
      </x:c>
      <x:c r="L830" t="str">
        <x:v>INST</x:v>
      </x:c>
      <x:c r="M830" t="str">
        <x:v>normal_wear</x:v>
      </x:c>
      <x:c r="N830" t="str">
        <x:v>anlyzr drift</x:v>
      </x:c>
      <x:c r="O830" t="str">
        <x:v>DRIFT</x:v>
      </x:c>
      <x:c r="P830" t="str">
        <x:v>CAL_GAS</x:v>
      </x:c>
      <x:c r="Q830" t="str">
        <x:v>N</x:v>
      </x:c>
      <x:c r="R830" t="str">
        <x:v>7.7</x:v>
      </x:c>
      <x:c r="S830" t="str">
        <x:v>394.95</x:v>
      </x:c>
      <x:c r="T830" t="str">
        <x:v>chk AIT-502 - anlyzr drift frm ops</x:v>
      </x:c>
      <x:c r="U830" t="str">
        <x:v>A shift called for AIT-502 bottoms C3+ analyzer, loose term seen during normal wear. Foud anlyzr drift; cal gas failed. opened strainer, cleaned black sludge. unit stable now. notif made by ops, maint attended same shift.</x:v>
      </x:c>
    </x:row>
    <x:row r="831" ht="15" hidden="0" customHeight="1">
      <x:c r="A831" t="str">
        <x:v>10450830</x:v>
      </x:c>
      <x:c r="B831" t="str">
        <x:v>40870830</x:v>
      </x:c>
      <x:c r="C831" t="str">
        <x:v>2024-09-28</x:v>
      </x:c>
      <x:c r="D831" t="str">
        <x:v>2024-09-29</x:v>
      </x:c>
      <x:c r="E831" t="str">
        <x:v>2024-10-02</x:v>
      </x:c>
      <x:c r="F831" t="str">
        <x:v>U400-DEETHANIZER-500</x:v>
      </x:c>
      <x:c r="G831" t="str">
        <x:v>E-503</x:v>
      </x:c>
      <x:c r="H831" t="str">
        <x:v>feed bottoms exchanger</x:v>
      </x:c>
      <x:c r="I831" t="str">
        <x:v>exchanger</x:v>
      </x:c>
      <x:c r="J831" t="str">
        <x:v>P3</x:v>
      </x:c>
      <x:c r="K831" t="str">
        <x:v>CLSD</x:v>
      </x:c>
      <x:c r="L831" t="str">
        <x:v>ANLYZR</x:v>
      </x:c>
      <x:c r="M831" t="str">
        <x:v>condenser_fouling</x:v>
      </x:c>
      <x:c r="N831" t="str">
        <x:v>tube fouling</x:v>
      </x:c>
      <x:c r="O831" t="str">
        <x:v>FOULING</x:v>
      </x:c>
      <x:c r="P831" t="str">
        <x:v>PROCESS</x:v>
      </x:c>
      <x:c r="Q831" t="str">
        <x:v>N</x:v>
      </x:c>
      <x:c r="R831" t="str">
        <x:v>3.7</x:v>
      </x:c>
      <x:c r="S831" t="str">
        <x:v>15930.99</x:v>
      </x:c>
      <x:c r="T831" t="str">
        <x:v>chk E-503 - tube fouling frm ops</x:v>
      </x:c>
      <x:c r="U831" t="str">
        <x:v>night called for E-503 feed bottoms exchanger, drum temp hi seen during condenser fouling. Foud tube fouling; duty low, delta t poor. Could not get permit first time waiting area gas test. opened strainer, cleaned black sludge. still little hunting but acceptable. notif made by ops, maint attended same shift.</x:v>
      </x:c>
    </x:row>
    <x:row r="832" ht="15" hidden="0" customHeight="1">
      <x:c r="A832" t="str">
        <x:v>10450831</x:v>
      </x:c>
      <x:c r="B832" t="str">
        <x:v>40870831</x:v>
      </x:c>
      <x:c r="C832" t="str">
        <x:v>2024-09-27</x:v>
      </x:c>
      <x:c r="D832" t="str">
        <x:v>2024-09-28</x:v>
      </x:c>
      <x:c r="E832" t="str">
        <x:v>2024-09-30</x:v>
      </x:c>
      <x:c r="F832" t="str">
        <x:v>U400-DEETHANIZER-500</x:v>
      </x:c>
      <x:c r="G832" t="str">
        <x:v>TV-501</x:v>
      </x:c>
      <x:c r="H832" t="str">
        <x:v>reboiler hot medium valve</x:v>
      </x:c>
      <x:c r="I832" t="str">
        <x:v>control_valve</x:v>
      </x:c>
      <x:c r="J832" t="str">
        <x:v>P3</x:v>
      </x:c>
      <x:c r="K832" t="str">
        <x:v>COMP</x:v>
      </x:c>
      <x:c r="L832" t="str">
        <x:v>VALVE</x:v>
      </x:c>
      <x:c r="M832" t="str">
        <x:v>feed_temperature_ramp</x:v>
      </x:c>
      <x:c r="N832" t="str">
        <x:v>air leak</x:v>
      </x:c>
      <x:c r="O832" t="str">
        <x:v>AIR_LEAK</x:v>
      </x:c>
      <x:c r="P832" t="str">
        <x:v>TUBING</x:v>
      </x:c>
      <x:c r="Q832" t="str">
        <x:v>N</x:v>
      </x:c>
      <x:c r="R832" t="str">
        <x:v>12.0</x:v>
      </x:c>
      <x:c r="S832" t="str">
        <x:v>3440.56</x:v>
      </x:c>
      <x:c r="T832" t="str">
        <x:v>chk TV-501 - air leak frm ops</x:v>
      </x:c>
      <x:c r="U832" t="str">
        <x:v>B shift called for TV-501 reboiler hot medium valve, tray temp drift seen during feed temperature ramp. Foud air leak; positioner supply drop. Tag plate dirty, confirmd by line up with panel. calibrated, loop checked with CCR. unit stable now. notif made by ops, maint attended same shift.</x:v>
      </x:c>
    </x:row>
    <x:row r="833" ht="15" hidden="0" customHeight="1">
      <x:c r="A833" t="str">
        <x:v>10450832</x:v>
      </x:c>
      <x:c r="B833" t="str">
        <x:v>40870832</x:v>
      </x:c>
      <x:c r="C833" t="str">
        <x:v>2024-10-01</x:v>
      </x:c>
      <x:c r="D833" t="str">
        <x:v>2024-10-01</x:v>
      </x:c>
      <x:c r="E833" t="str">
        <x:v>2024-10-08</x:v>
      </x:c>
      <x:c r="F833" t="str">
        <x:v>U400-DEETHANIZER-500</x:v>
      </x:c>
      <x:c r="G833" t="str">
        <x:v>E-502</x:v>
      </x:c>
      <x:c r="H833" t="str">
        <x:v>deethanizer overhead condenser</x:v>
      </x:c>
      <x:c r="I833" t="str">
        <x:v>condenser</x:v>
      </x:c>
      <x:c r="J833" t="str">
        <x:v>P2</x:v>
      </x:c>
      <x:c r="K833" t="str">
        <x:v>CLSD</x:v>
      </x:c>
      <x:c r="L833" t="str">
        <x:v>ANLYZR</x:v>
      </x:c>
      <x:c r="M833" t="str">
        <x:v>pressure_control_fault</x:v>
      </x:c>
      <x:c r="N833" t="str">
        <x:v>cw fouling</x:v>
      </x:c>
      <x:c r="O833" t="str">
        <x:v>FOULING</x:v>
      </x:c>
      <x:c r="P833" t="str">
        <x:v>UTILITY</x:v>
      </x:c>
      <x:c r="Q833" t="str">
        <x:v>N</x:v>
      </x:c>
      <x:c r="R833" t="str">
        <x:v>1.8</x:v>
      </x:c>
      <x:c r="S833" t="str">
        <x:v>17073.27</x:v>
      </x:c>
      <x:c r="T833" t="str">
        <x:v>E-502 cw fouling again, prod upset</x:v>
      </x:c>
      <x:c r="U833" t="str">
        <x:v>B shift called for E-502 deethanizer overhead condenser, press spike seen during pressure control fault. Foud cw fouling; cw side scaled. History shows same complain last mnth. swapped to standby and repaired. need watch next feed swing. notif made by ops, maint attended same shift.</x:v>
      </x:c>
    </x:row>
    <x:row r="834" ht="15" hidden="0" customHeight="1">
      <x:c r="A834" t="str">
        <x:v>10450833</x:v>
      </x:c>
      <x:c r="B834" t="str">
        <x:v>40870833</x:v>
      </x:c>
      <x:c r="C834" t="str">
        <x:v>2024-09-29</x:v>
      </x:c>
      <x:c r="D834" t="str">
        <x:v>2024-10-01</x:v>
      </x:c>
      <x:c r="E834" t="str">
        <x:v>2024-10-02</x:v>
      </x:c>
      <x:c r="F834" t="str">
        <x:v>U400-DEETHANIZER-500</x:v>
      </x:c>
      <x:c r="G834" t="str">
        <x:v>E-501</x:v>
      </x:c>
      <x:c r="H834" t="str">
        <x:v>deethanizer reboiler</x:v>
      </x:c>
      <x:c r="I834" t="str">
        <x:v>reboiler</x:v>
      </x:c>
      <x:c r="J834" t="str">
        <x:v>P3</x:v>
      </x:c>
      <x:c r="K834" t="str">
        <x:v>COMP</x:v>
      </x:c>
      <x:c r="L834" t="str">
        <x:v>MECH</x:v>
      </x:c>
      <x:c r="M834" t="str">
        <x:v>reboiler_duty_loss</x:v>
      </x:c>
      <x:c r="N834" t="str">
        <x:v>low duty</x:v>
      </x:c>
      <x:c r="O834" t="str">
        <x:v>DUTY_LOSS</x:v>
      </x:c>
      <x:c r="P834" t="str">
        <x:v>UTILITY</x:v>
      </x:c>
      <x:c r="Q834" t="str">
        <x:v>N</x:v>
      </x:c>
      <x:c r="R834" t="str">
        <x:v>8.5</x:v>
      </x:c>
      <x:c r="S834" t="str">
        <x:v>11408.86</x:v>
      </x:c>
      <x:c r="T834" t="str">
        <x:v>E-501 not ok after reboiler duty loss</x:v>
      </x:c>
      <x:c r="U834" t="str">
        <x:v>night called for E-501 deethanizer reboiler, low heat seen during reboiler duty loss. Foud low duty; hm vavle/strainer issue. changed gasket and boxed up. ops says ok for now. notif made by ops, maint attended same shift.</x:v>
      </x:c>
    </x:row>
    <x:row r="835" ht="15" hidden="0" customHeight="1">
      <x:c r="A835" t="str">
        <x:v>10450834</x:v>
      </x:c>
      <x:c r="B835" t="str">
        <x:v>40870834</x:v>
      </x:c>
      <x:c r="C835" t="str">
        <x:v>2024-10-03</x:v>
      </x:c>
      <x:c r="D835" t="str">
        <x:v>2024-10-03</x:v>
      </x:c>
      <x:c r="E835" t="str">
        <x:v>2024-10-04</x:v>
      </x:c>
      <x:c r="F835" t="str">
        <x:v>U400-DEETHANIZER-500</x:v>
      </x:c>
      <x:c r="G835" t="str">
        <x:v>P-501B</x:v>
      </x:c>
      <x:c r="H835" t="str">
        <x:v>reflux pump B</x:v>
      </x:c>
      <x:c r="I835" t="str">
        <x:v>pump</x:v>
      </x:c>
      <x:c r="J835" t="str">
        <x:v>P3</x:v>
      </x:c>
      <x:c r="K835" t="str">
        <x:v>COMP</x:v>
      </x:c>
      <x:c r="L835" t="str">
        <x:v>INST</x:v>
      </x:c>
      <x:c r="M835" t="str">
        <x:v>reflux_pump_degradation</x:v>
      </x:c>
      <x:c r="N835" t="str">
        <x:v>motor trip</x:v>
      </x:c>
      <x:c r="O835" t="str">
        <x:v>MOTOR</x:v>
      </x:c>
      <x:c r="P835" t="str">
        <x:v>ELEC</x:v>
      </x:c>
      <x:c r="Q835" t="str">
        <x:v>N</x:v>
      </x:c>
      <x:c r="R835" t="str">
        <x:v>4.3</x:v>
      </x:c>
      <x:c r="S835" t="str">
        <x:v>16328.34</x:v>
      </x:c>
      <x:c r="T835" t="str">
        <x:v>chk P-501B - motor trip frm ops</x:v>
      </x:c>
      <x:c r="U835" t="str">
        <x:v>days called for P-501B reflux pump B, pump vib seen during reflux pump degradation. Foud motor trip; overload trip after upset. tightened fittings, leak test ok. ops says ok for now. notif made by ops, maint attended same shift.</x:v>
      </x:c>
    </x:row>
    <x:row r="836" ht="15" hidden="0" customHeight="1">
      <x:c r="A836" t="str">
        <x:v>10450835</x:v>
      </x:c>
      <x:c r="B836" t="str">
        <x:v>40870835</x:v>
      </x:c>
      <x:c r="C836" t="str">
        <x:v>2024-10-04</x:v>
      </x:c>
      <x:c r="D836" t="str">
        <x:v>2024-10-04</x:v>
      </x:c>
      <x:c r="E836" t="str">
        <x:v>2024-10-05</x:v>
      </x:c>
      <x:c r="F836" t="str">
        <x:v>U400-DEETHANIZER-500</x:v>
      </x:c>
      <x:c r="G836" t="str">
        <x:v>PV-501</x:v>
      </x:c>
      <x:c r="H836" t="str">
        <x:v>column pressure control valve</x:v>
      </x:c>
      <x:c r="I836" t="str">
        <x:v>control_valve</x:v>
      </x:c>
      <x:c r="J836" t="str">
        <x:v>P3</x:v>
      </x:c>
      <x:c r="K836" t="str">
        <x:v>COMP</x:v>
      </x:c>
      <x:c r="L836" t="str">
        <x:v>OPS+MECH</x:v>
      </x:c>
      <x:c r="M836" t="str">
        <x:v>pressure_control_fault</x:v>
      </x:c>
      <x:c r="N836" t="str">
        <x:v>air leak</x:v>
      </x:c>
      <x:c r="O836" t="str">
        <x:v>AIR_LEAK</x:v>
      </x:c>
      <x:c r="P836" t="str">
        <x:v>TUBING</x:v>
      </x:c>
      <x:c r="Q836" t="str">
        <x:v>N</x:v>
      </x:c>
      <x:c r="R836" t="str">
        <x:v>1.2</x:v>
      </x:c>
      <x:c r="S836" t="str">
        <x:v>5372.8</x:v>
      </x:c>
      <x:c r="T836" t="str">
        <x:v>chk PV-501 - air leak frm ops</x:v>
      </x:c>
      <x:c r="U836" t="str">
        <x:v>A shift called for PV-501 column press control valve, pshh close call seen during press control fault. Foud air leak; positioner supply drop. Could not get permit first time waiting area gas test. stroke tested, response better. no leak at handover. notif made by ops, maint attended same shift.</x:v>
      </x:c>
    </x:row>
    <x:row r="837" ht="15" hidden="0" customHeight="1">
      <x:c r="A837" t="str">
        <x:v>10450836</x:v>
      </x:c>
      <x:c r="B837" t="str">
        <x:v>40870836</x:v>
      </x:c>
      <x:c r="C837" t="str">
        <x:v>2024-10-06</x:v>
      </x:c>
      <x:c r="D837" t="str">
        <x:v>2024-10-06</x:v>
      </x:c>
      <x:c r="E837" t="str">
        <x:v>2024-10-07</x:v>
      </x:c>
      <x:c r="F837" t="str">
        <x:v>U400-DEETHANIZER-500</x:v>
      </x:c>
      <x:c r="G837" t="str">
        <x:v>E-501</x:v>
      </x:c>
      <x:c r="H837" t="str">
        <x:v>deethanizer reboiler</x:v>
      </x:c>
      <x:c r="I837" t="str">
        <x:v>reboiler</x:v>
      </x:c>
      <x:c r="J837" t="str">
        <x:v>P2</x:v>
      </x:c>
      <x:c r="K837" t="str">
        <x:v>TECO</x:v>
      </x:c>
      <x:c r="L837" t="str">
        <x:v>OPS+MECH</x:v>
      </x:c>
      <x:c r="M837" t="str">
        <x:v>reboiler_duty_loss</x:v>
      </x:c>
      <x:c r="N837" t="str">
        <x:v>fouled bundle</x:v>
      </x:c>
      <x:c r="O837" t="str">
        <x:v>FOULING</x:v>
      </x:c>
      <x:c r="P837" t="str">
        <x:v>PROCESS</x:v>
      </x:c>
      <x:c r="Q837" t="str">
        <x:v>N</x:v>
      </x:c>
      <x:c r="R837" t="str">
        <x:v>2.1</x:v>
      </x:c>
      <x:c r="S837" t="str">
        <x:v>4796.02</x:v>
      </x:c>
      <x:c r="T837" t="str">
        <x:v>E-501 fouled bundle bad</x:v>
      </x:c>
      <x:c r="U837" t="str">
        <x:v>days called for E-501 deethanizer reboiler, tray temp low seen during reboiler duty loss. Foud fouled bundle; bottoms side dirty. flushed impulse/sample line. temp repair only, plan shutdown job. notif made by ops, maint attended same shift.</x:v>
      </x:c>
    </x:row>
    <x:row r="838" ht="15" hidden="0" customHeight="1">
      <x:c r="A838" t="str">
        <x:v>10450837</x:v>
      </x:c>
      <x:c r="B838" t="str">
        <x:v>40870837</x:v>
      </x:c>
      <x:c r="C838" t="str">
        <x:v>2024-10-06</x:v>
      </x:c>
      <x:c r="D838" t="str">
        <x:v>2024-10-08</x:v>
      </x:c>
      <x:c r="E838" t="str">
        <x:v>2024-10-09</x:v>
      </x:c>
      <x:c r="F838" t="str">
        <x:v>U400-DEETHANIZER-500</x:v>
      </x:c>
      <x:c r="G838" t="str">
        <x:v>P-502A</x:v>
      </x:c>
      <x:c r="H838" t="str">
        <x:v>bottoms pump A</x:v>
      </x:c>
      <x:c r="I838" t="str">
        <x:v>pump</x:v>
      </x:c>
      <x:c r="J838" t="str">
        <x:v>P3</x:v>
      </x:c>
      <x:c r="K838" t="str">
        <x:v>TECO</x:v>
      </x:c>
      <x:c r="L838" t="str">
        <x:v>OPS+MECH</x:v>
      </x:c>
      <x:c r="M838" t="str">
        <x:v>pressure_control_fault</x:v>
      </x:c>
      <x:c r="N838" t="str">
        <x:v>motor trip</x:v>
      </x:c>
      <x:c r="O838" t="str">
        <x:v>MOTOR</x:v>
      </x:c>
      <x:c r="P838" t="str">
        <x:v>ELEC</x:v>
      </x:c>
      <x:c r="Q838" t="str">
        <x:v>N</x:v>
      </x:c>
      <x:c r="R838" t="str">
        <x:v>10.1</x:v>
      </x:c>
      <x:c r="S838" t="str">
        <x:v>16374.05</x:v>
      </x:c>
      <x:c r="T838" t="str">
        <x:v>P-502A pshh close call, motor trip</x:v>
      </x:c>
      <x:c r="U838" t="str">
        <x:v>B shift called for P-502A bottoms pump A, press spike seen during pressure control fault. Foud motor trip; overload trip after upset. flushed impulse/sample line. no leak at handover. notif made by ops, maint attended same shift.</x:v>
      </x:c>
    </x:row>
    <x:row r="839" ht="15" hidden="0" customHeight="1">
      <x:c r="A839" t="str">
        <x:v>10450838</x:v>
      </x:c>
      <x:c r="B839" t="str">
        <x:v>40870838</x:v>
      </x:c>
      <x:c r="C839" t="str">
        <x:v>2024-10-10</x:v>
      </x:c>
      <x:c r="D839" t="str">
        <x:v>2024-10-12</x:v>
      </x:c>
      <x:c r="E839" t="str">
        <x:v>2024-10-13</x:v>
      </x:c>
      <x:c r="F839" t="str">
        <x:v>U400-DEETHANIZER-500</x:v>
      </x:c>
      <x:c r="G839" t="str">
        <x:v>TV-501</x:v>
      </x:c>
      <x:c r="H839" t="str">
        <x:v>reboiler hot medium valve</x:v>
      </x:c>
      <x:c r="I839" t="str">
        <x:v>control_valve</x:v>
      </x:c>
      <x:c r="J839" t="str">
        <x:v>P4</x:v>
      </x:c>
      <x:c r="K839" t="str">
        <x:v>TECO</x:v>
      </x:c>
      <x:c r="L839" t="str">
        <x:v>VALVE</x:v>
      </x:c>
      <x:c r="M839" t="str">
        <x:v>reboiler_duty_loss</x:v>
      </x:c>
      <x:c r="N839" t="str">
        <x:v>stiction</x:v>
      </x:c>
      <x:c r="O839" t="str">
        <x:v>STICK</x:v>
      </x:c>
      <x:c r="P839" t="str">
        <x:v>PACKING</x:v>
      </x:c>
      <x:c r="Q839" t="str">
        <x:v>N</x:v>
      </x:c>
      <x:c r="R839" t="str">
        <x:v>4.8</x:v>
      </x:c>
      <x:c r="S839" t="str">
        <x:v>558.63</x:v>
      </x:c>
      <x:c r="T839" t="str">
        <x:v>TV-501 not ok after reboiler duty loss</x:v>
      </x:c>
      <x:c r="U839" t="str">
        <x:v>days called for TV-501 reboiler hot medium vavle, tray temp low seen during reboiler duty loss. Foud stiction; stem sticky and pos err. Line was hot so job done slow and with ops standing by. calibrated, loop checked with CCR. no leak at handover. notif made by ops, maint attended same shift.</x:v>
      </x:c>
    </x:row>
    <x:row r="840" ht="15" hidden="0" customHeight="1">
      <x:c r="A840" t="str">
        <x:v>10450839</x:v>
      </x:c>
      <x:c r="B840" t="str">
        <x:v>40870839</x:v>
      </x:c>
      <x:c r="C840" t="str">
        <x:v>2024-10-08</x:v>
      </x:c>
      <x:c r="D840" t="str">
        <x:v>2024-10-08</x:v>
      </x:c>
      <x:c r="E840" t="str">
        <x:v>2024-10-10</x:v>
      </x:c>
      <x:c r="F840" t="str">
        <x:v>U400-DEETHANIZER-500</x:v>
      </x:c>
      <x:c r="G840" t="str">
        <x:v>FV-501</x:v>
      </x:c>
      <x:c r="H840" t="str">
        <x:v>feed flow control valve</x:v>
      </x:c>
      <x:c r="I840" t="str">
        <x:v>control_valve</x:v>
      </x:c>
      <x:c r="J840" t="str">
        <x:v>P2</x:v>
      </x:c>
      <x:c r="K840" t="str">
        <x:v>COMP</x:v>
      </x:c>
      <x:c r="L840" t="str">
        <x:v>ANLYZR</x:v>
      </x:c>
      <x:c r="M840" t="str">
        <x:v>feed_flow_step</x:v>
      </x:c>
      <x:c r="N840" t="str">
        <x:v>not stroking</x:v>
      </x:c>
      <x:c r="O840" t="str">
        <x:v>NO_TRAVEL</x:v>
      </x:c>
      <x:c r="P840" t="str">
        <x:v>ACT</x:v>
      </x:c>
      <x:c r="Q840" t="str">
        <x:v>Y</x:v>
      </x:c>
      <x:c r="R840" t="str">
        <x:v>21.1</x:v>
      </x:c>
      <x:c r="S840" t="str">
        <x:v>2171.66</x:v>
      </x:c>
      <x:c r="T840" t="str">
        <x:v>FV-501 not ok after feed flow step</x:v>
      </x:c>
      <x:c r="U840" t="str">
        <x:v>night called for FV-501 feed flow control valve, c2 recov down seen during feed flow step. Foud not stroking; actuator weak. opened strainer, cleaned black sludge. ops says ok for now. notif made by ops, maint attended same shift.</x:v>
      </x:c>
    </x:row>
    <x:row r="841" ht="15" hidden="0" customHeight="1">
      <x:c r="A841" t="str">
        <x:v>10450840</x:v>
      </x:c>
      <x:c r="B841" t="str">
        <x:v>40870840</x:v>
      </x:c>
      <x:c r="C841" t="str">
        <x:v>2024-10-09</x:v>
      </x:c>
      <x:c r="D841" t="str">
        <x:v>2024-10-09</x:v>
      </x:c>
      <x:c r="E841" t="str">
        <x:v>2024-10-11</x:v>
      </x:c>
      <x:c r="F841" t="str">
        <x:v>U400-DEETHANIZER-500</x:v>
      </x:c>
      <x:c r="G841" t="str">
        <x:v>PV-501</x:v>
      </x:c>
      <x:c r="H841" t="str">
        <x:v>column pressure control valve</x:v>
      </x:c>
      <x:c r="I841" t="str">
        <x:v>control_valve</x:v>
      </x:c>
      <x:c r="J841" t="str">
        <x:v>P1</x:v>
      </x:c>
      <x:c r="K841" t="str">
        <x:v>TECO</x:v>
      </x:c>
      <x:c r="L841" t="str">
        <x:v>ANLYZR</x:v>
      </x:c>
      <x:c r="M841" t="str">
        <x:v>valve_stiction</x:v>
      </x:c>
      <x:c r="N841" t="str">
        <x:v>stiction</x:v>
      </x:c>
      <x:c r="O841" t="str">
        <x:v>STICK</x:v>
      </x:c>
      <x:c r="P841" t="str">
        <x:v>PACKING</x:v>
      </x:c>
      <x:c r="Q841" t="str">
        <x:v>N</x:v>
      </x:c>
      <x:c r="R841" t="str">
        <x:v>1.7</x:v>
      </x:c>
      <x:c r="S841" t="str">
        <x:v>2749.45</x:v>
      </x:c>
      <x:c r="T841" t="str">
        <x:v>PV-501 stiction asap</x:v>
      </x:c>
      <x:c r="U841" t="str">
        <x:v>days called for PV-501 column pressure ctrl vavle, air leak seen during vavle stiction. Foud stiction; stem sticky and pos err. tightened fittings, leak test ok. need watch next feed swing. notif made by ops, maint attended same shift.</x:v>
      </x:c>
    </x:row>
    <x:row r="842" ht="15" hidden="0" customHeight="1">
      <x:c r="A842" t="str">
        <x:v>10450841</x:v>
      </x:c>
      <x:c r="B842" t="str">
        <x:v>40870841</x:v>
      </x:c>
      <x:c r="C842" t="str">
        <x:v>2024-10-14</x:v>
      </x:c>
      <x:c r="D842" t="str">
        <x:v>2024-10-15</x:v>
      </x:c>
      <x:c r="E842" t="str">
        <x:v>2024-10-16</x:v>
      </x:c>
      <x:c r="F842" t="str">
        <x:v>U400-DEETHANIZER-500</x:v>
      </x:c>
      <x:c r="G842" t="str">
        <x:v>P-501B</x:v>
      </x:c>
      <x:c r="H842" t="str">
        <x:v>reflux pump B</x:v>
      </x:c>
      <x:c r="I842" t="str">
        <x:v>pump</x:v>
      </x:c>
      <x:c r="J842" t="str">
        <x:v>P4</x:v>
      </x:c>
      <x:c r="K842" t="str">
        <x:v>TECO</x:v>
      </x:c>
      <x:c r="L842" t="str">
        <x:v>OPS+MECH</x:v>
      </x:c>
      <x:c r="M842" t="str">
        <x:v>reflux_pump_degradation</x:v>
      </x:c>
      <x:c r="N842" t="str">
        <x:v>seal leak</x:v>
      </x:c>
      <x:c r="O842" t="str">
        <x:v>MECH_SEAL</x:v>
      </x:c>
      <x:c r="P842" t="str">
        <x:v>SEAL</x:v>
      </x:c>
      <x:c r="Q842" t="str">
        <x:v>N</x:v>
      </x:c>
      <x:c r="R842" t="str">
        <x:v>2.9</x:v>
      </x:c>
      <x:c r="S842" t="str">
        <x:v>7943.05</x:v>
      </x:c>
      <x:c r="T842" t="str">
        <x:v>P-501B seal leak again, prod upset</x:v>
      </x:c>
      <x:c r="U842" t="str">
        <x:v>days called for P-501B reflux pump B, low reflux seen during reflux pump degradation. Foud seal leak; seal face worn / dry run signs. No spare in store at first, used refurb one from shop. swapped to standby and repaired. readng close to dcs after job. notif made by ops, maint attended same shift.</x:v>
      </x:c>
    </x:row>
    <x:row r="843" ht="15" hidden="0" customHeight="1">
      <x:c r="A843" t="str">
        <x:v>10450842</x:v>
      </x:c>
      <x:c r="B843" t="str">
        <x:v>40870842</x:v>
      </x:c>
      <x:c r="C843" t="str">
        <x:v>2024-10-14</x:v>
      </x:c>
      <x:c r="D843" t="str">
        <x:v>2024-10-14</x:v>
      </x:c>
      <x:c r="E843" t="str">
        <x:v>2024-10-14</x:v>
      </x:c>
      <x:c r="F843" t="str">
        <x:v>U400-DEETHANIZER-500</x:v>
      </x:c>
      <x:c r="G843" t="str">
        <x:v>E-503</x:v>
      </x:c>
      <x:c r="H843" t="str">
        <x:v>feed bottoms exchanger</x:v>
      </x:c>
      <x:c r="I843" t="str">
        <x:v>exchanger</x:v>
      </x:c>
      <x:c r="J843" t="str">
        <x:v>P3</x:v>
      </x:c>
      <x:c r="K843" t="str">
        <x:v>CLSD</x:v>
      </x:c>
      <x:c r="L843" t="str">
        <x:v>INST</x:v>
      </x:c>
      <x:c r="M843" t="str">
        <x:v>feed_composition_shift</x:v>
      </x:c>
      <x:c r="N843" t="str">
        <x:v>temp approach bad</x:v>
      </x:c>
      <x:c r="O843" t="str">
        <x:v>PERF</x:v>
      </x:c>
      <x:c r="P843" t="str">
        <x:v>FOUL</x:v>
      </x:c>
      <x:c r="Q843" t="str">
        <x:v>N</x:v>
      </x:c>
      <x:c r="R843" t="str">
        <x:v>2.1</x:v>
      </x:c>
      <x:c r="S843" t="str">
        <x:v>14163.62</x:v>
      </x:c>
      <x:c r="T843" t="str">
        <x:v>chk E-503 - temp approach bad frm ops</x:v>
      </x:c>
      <x:c r="U843" t="str">
        <x:v>days called for E-503 feed bottoms exchanger, quality bad seen during feed composition shift. Foud temp approach bad; heat transfer loss. changed gasket and boxed up. temp repair only, plan shutdown job. notif made by ops, maint attended same shift.</x:v>
      </x:c>
    </x:row>
    <x:row r="844" ht="15" hidden="0" customHeight="1">
      <x:c r="A844" t="str">
        <x:v>10450843</x:v>
      </x:c>
      <x:c r="B844" t="str">
        <x:v>40870843</x:v>
      </x:c>
      <x:c r="C844" t="str">
        <x:v>2024-10-17</x:v>
      </x:c>
      <x:c r="D844" t="str">
        <x:v>2024-10-18</x:v>
      </x:c>
      <x:c r="E844" t="str">
        <x:v>2024-10-18</x:v>
      </x:c>
      <x:c r="F844" t="str">
        <x:v>U400-DEETHANIZER-500</x:v>
      </x:c>
      <x:c r="G844" t="str">
        <x:v>FV-502</x:v>
      </x:c>
      <x:c r="H844" t="str">
        <x:v>reflux flow control valve</x:v>
      </x:c>
      <x:c r="I844" t="str">
        <x:v>control_valve</x:v>
      </x:c>
      <x:c r="J844" t="str">
        <x:v>P2</x:v>
      </x:c>
      <x:c r="K844" t="str">
        <x:v>CLSD</x:v>
      </x:c>
      <x:c r="L844" t="str">
        <x:v>ANLYZR</x:v>
      </x:c>
      <x:c r="M844" t="str">
        <x:v>reflux_pump_degradation</x:v>
      </x:c>
      <x:c r="N844" t="str">
        <x:v>stiction</x:v>
      </x:c>
      <x:c r="O844" t="str">
        <x:v>STICK</x:v>
      </x:c>
      <x:c r="P844" t="str">
        <x:v>PACKING</x:v>
      </x:c>
      <x:c r="Q844" t="str">
        <x:v>N</x:v>
      </x:c>
      <x:c r="R844" t="str">
        <x:v>12.5</x:v>
      </x:c>
      <x:c r="S844" t="str">
        <x:v>4324.59</x:v>
      </x:c>
      <x:c r="T844" t="str">
        <x:v>FV-502 stiction again, prod upset</x:v>
      </x:c>
      <x:c r="U844" t="str">
        <x:v>B shift called for FV-502 reflux flow control vavle, disch press low seen during reflux pump degradation. Foud stiction; stem sticky and pos err. Tag plate dirty, confirmd by line up with panel. reset trip and monitored for 2 hrs. still little hunting but acceptable. notif made by ops, maint attended same shift.</x:v>
      </x:c>
    </x:row>
    <x:row r="845" ht="15" hidden="0" customHeight="1">
      <x:c r="A845" t="str">
        <x:v>10450844</x:v>
      </x:c>
      <x:c r="B845" t="str">
        <x:v>40870844</x:v>
      </x:c>
      <x:c r="C845" t="str">
        <x:v>2024-10-14</x:v>
      </x:c>
      <x:c r="D845" t="str">
        <x:v>2024-10-14</x:v>
      </x:c>
      <x:c r="E845" t="str">
        <x:v>2024-10-17</x:v>
      </x:c>
      <x:c r="F845" t="str">
        <x:v>U400-DEETHANIZER-500</x:v>
      </x:c>
      <x:c r="G845" t="str">
        <x:v>E-503</x:v>
      </x:c>
      <x:c r="H845" t="str">
        <x:v>feed bottoms exchanger</x:v>
      </x:c>
      <x:c r="I845" t="str">
        <x:v>exchanger</x:v>
      </x:c>
      <x:c r="J845" t="str">
        <x:v>P3</x:v>
      </x:c>
      <x:c r="K845" t="str">
        <x:v>CLSD</x:v>
      </x:c>
      <x:c r="L845" t="str">
        <x:v>INST</x:v>
      </x:c>
      <x:c r="M845" t="str">
        <x:v>feed_composition_shift</x:v>
      </x:c>
      <x:c r="N845" t="str">
        <x:v>plugged pass</x:v>
      </x:c>
      <x:c r="O845" t="str">
        <x:v>PLUG</x:v>
      </x:c>
      <x:c r="P845" t="str">
        <x:v>FOUL</x:v>
      </x:c>
      <x:c r="Q845" t="str">
        <x:v>N</x:v>
      </x:c>
      <x:c r="R845" t="str">
        <x:v>3.0</x:v>
      </x:c>
      <x:c r="S845" t="str">
        <x:v>5012.89</x:v>
      </x:c>
      <x:c r="T845" t="str">
        <x:v>E-503 plugged pass pls chk</x:v>
      </x:c>
      <x:c r="U845" t="str">
        <x:v>night called for E-503 feed bottoms exchanger, quality bad seen during feed composition shift. Foud plugged pass; flow restricted. changed gasket and boxed up. no leak at handover. notif made by ops, maint attended same shift.</x:v>
      </x:c>
    </x:row>
    <x:row r="846" ht="15" hidden="0" customHeight="1">
      <x:c r="A846" t="str">
        <x:v>10450845</x:v>
      </x:c>
      <x:c r="B846" t="str">
        <x:v>40870845</x:v>
      </x:c>
      <x:c r="C846" t="str">
        <x:v>2024-10-20</x:v>
      </x:c>
      <x:c r="D846" t="str">
        <x:v>2024-10-21</x:v>
      </x:c>
      <x:c r="E846" t="str">
        <x:v>2024-10-28</x:v>
      </x:c>
      <x:c r="F846" t="str">
        <x:v>U400-DEETHANIZER-500</x:v>
      </x:c>
      <x:c r="G846" t="str">
        <x:v>FV-501</x:v>
      </x:c>
      <x:c r="H846" t="str">
        <x:v>feed flow control valve</x:v>
      </x:c>
      <x:c r="I846" t="str">
        <x:v>control_valve</x:v>
      </x:c>
      <x:c r="J846" t="str">
        <x:v>P3</x:v>
      </x:c>
      <x:c r="K846" t="str">
        <x:v>TECO</x:v>
      </x:c>
      <x:c r="L846" t="str">
        <x:v>OPS+MECH</x:v>
      </x:c>
      <x:c r="M846" t="str">
        <x:v>valve_stiction</x:v>
      </x:c>
      <x:c r="N846" t="str">
        <x:v>air leak</x:v>
      </x:c>
      <x:c r="O846" t="str">
        <x:v>AIR_LEAK</x:v>
      </x:c>
      <x:c r="P846" t="str">
        <x:v>TUBING</x:v>
      </x:c>
      <x:c r="Q846" t="str">
        <x:v>N</x:v>
      </x:c>
      <x:c r="R846" t="str">
        <x:v>10.5</x:v>
      </x:c>
      <x:c r="S846" t="str">
        <x:v>4334.2</x:v>
      </x:c>
      <x:c r="T846" t="str">
        <x:v>FV-501 not ok after valve stiction</x:v>
      </x:c>
      <x:c r="U846" t="str">
        <x:v>days called for FV-501 feed flow ctrl valve, loop cycling seen during valve stiction. Foud air leak; positioner supply drop. stroke tested, response better. need watch next feed swing. notif made by ops, maint attended same shift.</x:v>
      </x:c>
    </x:row>
    <x:row r="847" ht="15" hidden="0" customHeight="1">
      <x:c r="A847" t="str">
        <x:v>10450846</x:v>
      </x:c>
      <x:c r="B847" t="str">
        <x:v>40870846</x:v>
      </x:c>
      <x:c r="C847" t="str">
        <x:v>2024-10-16</x:v>
      </x:c>
      <x:c r="D847" t="str">
        <x:v>2024-10-16</x:v>
      </x:c>
      <x:c r="E847" t="str">
        <x:v>2024-10-21</x:v>
      </x:c>
      <x:c r="F847" t="str">
        <x:v>U400-DEETHANIZER-500</x:v>
      </x:c>
      <x:c r="G847" t="str">
        <x:v>TV-501</x:v>
      </x:c>
      <x:c r="H847" t="str">
        <x:v>reboiler hot medium valve</x:v>
      </x:c>
      <x:c r="I847" t="str">
        <x:v>control_valve</x:v>
      </x:c>
      <x:c r="J847" t="str">
        <x:v>P3</x:v>
      </x:c>
      <x:c r="K847" t="str">
        <x:v>TECO</x:v>
      </x:c>
      <x:c r="L847" t="str">
        <x:v>ROT</x:v>
      </x:c>
      <x:c r="M847" t="str">
        <x:v>valve_stiction</x:v>
      </x:c>
      <x:c r="N847" t="str">
        <x:v>stiction</x:v>
      </x:c>
      <x:c r="O847" t="str">
        <x:v>STICK</x:v>
      </x:c>
      <x:c r="P847" t="str">
        <x:v>PACKING</x:v>
      </x:c>
      <x:c r="Q847" t="str">
        <x:v>N</x:v>
      </x:c>
      <x:c r="R847" t="str">
        <x:v>1.6</x:v>
      </x:c>
      <x:c r="S847" t="str">
        <x:v>6321.38</x:v>
      </x:c>
      <x:c r="T847" t="str">
        <x:v>chk TV-501 - stiction frm ops</x:v>
      </x:c>
      <x:c r="U847" t="str">
        <x:v>days called for TV-501 reboiler hot medium vavle, air leak seen during vavle stiction. Foud stiction; stem sticky and pos err. swapped to standby and repaired. readng close to dcs after job. notif made by ops, maint attended same shift.</x:v>
      </x:c>
    </x:row>
    <x:row r="848" ht="15" hidden="0" customHeight="1">
      <x:c r="A848" t="str">
        <x:v>10450847</x:v>
      </x:c>
      <x:c r="B848" t="str">
        <x:v>40870847</x:v>
      </x:c>
      <x:c r="C848" t="str">
        <x:v>2024-10-20</x:v>
      </x:c>
      <x:c r="D848" t="str">
        <x:v>2024-10-21</x:v>
      </x:c>
      <x:c r="E848" t="str">
        <x:v>2024-10-21</x:v>
      </x:c>
      <x:c r="F848" t="str">
        <x:v>U400-DEETHANIZER-500</x:v>
      </x:c>
      <x:c r="G848" t="str">
        <x:v>E-502</x:v>
      </x:c>
      <x:c r="H848" t="str">
        <x:v>deethanizer overhead condenser</x:v>
      </x:c>
      <x:c r="I848" t="str">
        <x:v>condenser</x:v>
      </x:c>
      <x:c r="J848" t="str">
        <x:v>P3</x:v>
      </x:c>
      <x:c r="K848" t="str">
        <x:v>CLSD</x:v>
      </x:c>
      <x:c r="L848" t="str">
        <x:v>ANLYZR</x:v>
      </x:c>
      <x:c r="M848" t="str">
        <x:v>normal_wear</x:v>
      </x:c>
      <x:c r="N848" t="str">
        <x:v>tv no travel</x:v>
      </x:c>
      <x:c r="O848" t="str">
        <x:v>VALVE</x:v>
      </x:c>
      <x:c r="P848" t="str">
        <x:v>STICK</x:v>
      </x:c>
      <x:c r="Q848" t="str">
        <x:v>N</x:v>
      </x:c>
      <x:c r="R848" t="str">
        <x:v>10.6</x:v>
      </x:c>
      <x:c r="S848" t="str">
        <x:v>2930.14</x:v>
      </x:c>
      <x:c r="T848" t="str">
        <x:v>E-502 tv no travel chk &amp; revert</x:v>
      </x:c>
      <x:c r="U848" t="str">
        <x:v>night called for E-502 deethanizer overhead condnsr, pm found defect seen during normal wear. Foud tv no travel; cooling vavle stuck. changed gasket and boxed up. unit stable now. notif made by ops, maint attended same shift.</x:v>
      </x:c>
    </x:row>
    <x:row r="849" ht="15" hidden="0" customHeight="1">
      <x:c r="A849" t="str">
        <x:v>10450848</x:v>
      </x:c>
      <x:c r="B849" t="str">
        <x:v>40870848</x:v>
      </x:c>
      <x:c r="C849" t="str">
        <x:v>2024-10-22</x:v>
      </x:c>
      <x:c r="D849" t="str">
        <x:v>2024-10-23</x:v>
      </x:c>
      <x:c r="E849" t="str">
        <x:v>2024-10-24</x:v>
      </x:c>
      <x:c r="F849" t="str">
        <x:v>U400-DEETHANIZER-500</x:v>
      </x:c>
      <x:c r="G849" t="str">
        <x:v>TV-502</x:v>
      </x:c>
      <x:c r="H849" t="str">
        <x:v>condenser cooling valve</x:v>
      </x:c>
      <x:c r="I849" t="str">
        <x:v>control_valve</x:v>
      </x:c>
      <x:c r="J849" t="str">
        <x:v>P4</x:v>
      </x:c>
      <x:c r="K849" t="str">
        <x:v>CLSD</x:v>
      </x:c>
      <x:c r="L849" t="str">
        <x:v>ANLYZR</x:v>
      </x:c>
      <x:c r="M849" t="str">
        <x:v>reflux_pump_degradation</x:v>
      </x:c>
      <x:c r="N849" t="str">
        <x:v>passing</x:v>
      </x:c>
      <x:c r="O849" t="str">
        <x:v>LEAK_BY</x:v>
      </x:c>
      <x:c r="P849" t="str">
        <x:v>SEAT</x:v>
      </x:c>
      <x:c r="Q849" t="str">
        <x:v>N</x:v>
      </x:c>
      <x:c r="R849" t="str">
        <x:v>16.7</x:v>
      </x:c>
      <x:c r="S849" t="str">
        <x:v>2090.88</x:v>
      </x:c>
      <x:c r="T849" t="str">
        <x:v>TV-502 not ok after reflux pump degradation</x:v>
      </x:c>
      <x:c r="U849" t="str">
        <x:v>C shift called for TV-502 condenser cooling valve, disch press low seen during reflux pump degradation. Foud passing; seat leak by. cleaned and put back online. unit stable now. notif made by ops, maint attended same shift.</x:v>
      </x:c>
    </x:row>
    <x:row r="850" ht="15" hidden="0" customHeight="1">
      <x:c r="A850" t="str">
        <x:v>10450849</x:v>
      </x:c>
      <x:c r="B850" t="str">
        <x:v>40870849</x:v>
      </x:c>
      <x:c r="C850" t="str">
        <x:v>2024-10-22</x:v>
      </x:c>
      <x:c r="D850" t="str">
        <x:v>2024-10-22</x:v>
      </x:c>
      <x:c r="E850" t="str">
        <x:v>2024-10-22</x:v>
      </x:c>
      <x:c r="F850" t="str">
        <x:v>U400-DEETHANIZER-500</x:v>
      </x:c>
      <x:c r="G850" t="str">
        <x:v>PT-501</x:v>
      </x:c>
      <x:c r="H850" t="str">
        <x:v>column overhead pressure tx</x:v>
      </x:c>
      <x:c r="I850" t="str">
        <x:v>instrument</x:v>
      </x:c>
      <x:c r="J850" t="str">
        <x:v>P3</x:v>
      </x:c>
      <x:c r="K850" t="str">
        <x:v>TECO</x:v>
      </x:c>
      <x:c r="L850" t="str">
        <x:v>INST</x:v>
      </x:c>
      <x:c r="M850" t="str">
        <x:v>condenser_fouling</x:v>
      </x:c>
      <x:c r="N850" t="str">
        <x:v>no signal</x:v>
      </x:c>
      <x:c r="O850" t="str">
        <x:v>NO_SIGNAL</x:v>
      </x:c>
      <x:c r="P850" t="str">
        <x:v>ELEC</x:v>
      </x:c>
      <x:c r="Q850" t="str">
        <x:v>N</x:v>
      </x:c>
      <x:c r="R850" t="str">
        <x:v>11.9</x:v>
      </x:c>
      <x:c r="S850" t="str">
        <x:v>4696.25</x:v>
      </x:c>
      <x:c r="T850" t="str">
        <x:v>chk PT-501 - no signal frm ops</x:v>
      </x:c>
      <x:c r="U850" t="str">
        <x:v>days called for PT-501 colmn overhead pressure tx, pic wide open seen during condenser fouling. Foud no signal; 24v or card issue. stroke tested, response better. no leak at handover. notif made by ops, maint attended same shift.</x:v>
      </x:c>
    </x:row>
    <x:row r="851" ht="15" hidden="0" customHeight="1">
      <x:c r="A851" t="str">
        <x:v>10450850</x:v>
      </x:c>
      <x:c r="B851" t="str">
        <x:v>40870850</x:v>
      </x:c>
      <x:c r="C851" t="str">
        <x:v>2024-10-25</x:v>
      </x:c>
      <x:c r="D851" t="str">
        <x:v>2024-10-25</x:v>
      </x:c>
      <x:c r="E851" t="str">
        <x:v>2024-10-26</x:v>
      </x:c>
      <x:c r="F851" t="str">
        <x:v>U400-DEETHANIZER-500</x:v>
      </x:c>
      <x:c r="G851" t="str">
        <x:v>P-501B</x:v>
      </x:c>
      <x:c r="H851" t="str">
        <x:v>reflux pump B</x:v>
      </x:c>
      <x:c r="I851" t="str">
        <x:v>pump</x:v>
      </x:c>
      <x:c r="J851" t="str">
        <x:v>P3</x:v>
      </x:c>
      <x:c r="K851" t="str">
        <x:v>COMP</x:v>
      </x:c>
      <x:c r="L851" t="str">
        <x:v>VALVE</x:v>
      </x:c>
      <x:c r="M851" t="str">
        <x:v>reboiler_duty_loss</x:v>
      </x:c>
      <x:c r="N851" t="str">
        <x:v>motor trip</x:v>
      </x:c>
      <x:c r="O851" t="str">
        <x:v>MOTOR</x:v>
      </x:c>
      <x:c r="P851" t="str">
        <x:v>ELEC</x:v>
      </x:c>
      <x:c r="Q851" t="str">
        <x:v>N</x:v>
      </x:c>
      <x:c r="R851" t="str">
        <x:v>16.9</x:v>
      </x:c>
      <x:c r="S851" t="str">
        <x:v>1309.28</x:v>
      </x:c>
      <x:c r="T851" t="str">
        <x:v>P-501B not ok after rebiler duty loss</x:v>
      </x:c>
      <x:c r="U851" t="str">
        <x:v>C shift called for P-501B reflux pump B, low heat seen during rebiler duty loss. Foud motor trip; overload trip after upset. stroke tested, response better. no leak at handover. notif made by ops, maint attended same shift.</x:v>
      </x:c>
    </x:row>
    <x:row r="852" ht="15" hidden="0" customHeight="1">
      <x:c r="A852" t="str">
        <x:v>10450851</x:v>
      </x:c>
      <x:c r="B852" t="str">
        <x:v>40870851</x:v>
      </x:c>
      <x:c r="C852" t="str">
        <x:v>2024-10-24</x:v>
      </x:c>
      <x:c r="D852" t="str">
        <x:v>2024-10-26</x:v>
      </x:c>
      <x:c r="E852" t="str">
        <x:v>2024-10-26</x:v>
      </x:c>
      <x:c r="F852" t="str">
        <x:v>U400-DEETHANIZER-500</x:v>
      </x:c>
      <x:c r="G852" t="str">
        <x:v>T-501</x:v>
      </x:c>
      <x:c r="H852" t="str">
        <x:v>deethanizer column</x:v>
      </x:c>
      <x:c r="I852" t="str">
        <x:v>column</x:v>
      </x:c>
      <x:c r="J852" t="str">
        <x:v>P3</x:v>
      </x:c>
      <x:c r="K852" t="str">
        <x:v>CLSD</x:v>
      </x:c>
      <x:c r="L852" t="str">
        <x:v>E&amp;I</x:v>
      </x:c>
      <x:c r="M852" t="str">
        <x:v>reflux_pump_degradation</x:v>
      </x:c>
      <x:c r="N852" t="str">
        <x:v>level unstable</x:v>
      </x:c>
      <x:c r="O852" t="str">
        <x:v>LVL_SWING</x:v>
      </x:c>
      <x:c r="P852" t="str">
        <x:v>CTRL</x:v>
      </x:c>
      <x:c r="Q852" t="str">
        <x:v>N</x:v>
      </x:c>
      <x:c r="R852" t="str">
        <x:v>4.8</x:v>
      </x:c>
      <x:c r="S852" t="str">
        <x:v>4346.21</x:v>
      </x:c>
      <x:c r="T852" t="str">
        <x:v>chk T-501 - level unstable frm ops</x:v>
      </x:c>
      <x:c r="U852" t="str">
        <x:v>days called for T-501 deethanizer column, disch press low seen during reflux pump degradation. Foud level unstable; sump level swing. replaced positioner tubing and retuned small. unit stable now. notif made by ops, maint attended same shift.</x:v>
      </x:c>
    </x:row>
    <x:row r="853" ht="15" hidden="0" customHeight="1">
      <x:c r="A853" t="str">
        <x:v>10450852</x:v>
      </x:c>
      <x:c r="B853" t="str">
        <x:v>40870852</x:v>
      </x:c>
      <x:c r="C853" t="str">
        <x:v>2024-10-28</x:v>
      </x:c>
      <x:c r="D853" t="str">
        <x:v>2024-10-30</x:v>
      </x:c>
      <x:c r="E853" t="str">
        <x:v>2024-10-31</x:v>
      </x:c>
      <x:c r="F853" t="str">
        <x:v>U400-DEETHANIZER-500</x:v>
      </x:c>
      <x:c r="G853" t="str">
        <x:v>TV-502</x:v>
      </x:c>
      <x:c r="H853" t="str">
        <x:v>condenser cooling valve</x:v>
      </x:c>
      <x:c r="I853" t="str">
        <x:v>control_valve</x:v>
      </x:c>
      <x:c r="J853" t="str">
        <x:v>P3</x:v>
      </x:c>
      <x:c r="K853" t="str">
        <x:v>COMP</x:v>
      </x:c>
      <x:c r="L853" t="str">
        <x:v>OPS+INST</x:v>
      </x:c>
      <x:c r="M853" t="str">
        <x:v>condenser_fouling</x:v>
      </x:c>
      <x:c r="N853" t="str">
        <x:v>hunting loop</x:v>
      </x:c>
      <x:c r="O853" t="str">
        <x:v>CTRL_OSC</x:v>
      </x:c>
      <x:c r="P853" t="str">
        <x:v>TUNE</x:v>
      </x:c>
      <x:c r="Q853" t="str">
        <x:v>N</x:v>
      </x:c>
      <x:c r="R853" t="str">
        <x:v>16.2</x:v>
      </x:c>
      <x:c r="S853" t="str">
        <x:v>2330.66</x:v>
      </x:c>
      <x:c r="T853" t="str">
        <x:v>chk TV-502 - hunting loop frm ops</x:v>
      </x:c>
      <x:c r="U853" t="str">
        <x:v>A shift called for TV-502 condenser cooling valve, cw dt low seen during condenser fouling. Foud hunting loop; bad response after upset. Line was hot so job done slow and with ops standing by. reset trip and monitored for 2 hrs. ops says ok for now. notif made by ops, maint attended same shift.</x:v>
      </x:c>
    </x:row>
    <x:row r="854" ht="15" hidden="0" customHeight="1">
      <x:c r="A854" t="str">
        <x:v>10450853</x:v>
      </x:c>
      <x:c r="B854" t="str">
        <x:v>40870853</x:v>
      </x:c>
      <x:c r="C854" t="str">
        <x:v>2024-10-31</x:v>
      </x:c>
      <x:c r="D854" t="str">
        <x:v>2024-11-01</x:v>
      </x:c>
      <x:c r="E854" t="str">
        <x:v>2024-11-02</x:v>
      </x:c>
      <x:c r="F854" t="str">
        <x:v>U400-DEETHANIZER-500</x:v>
      </x:c>
      <x:c r="G854" t="str">
        <x:v>E-502</x:v>
      </x:c>
      <x:c r="H854" t="str">
        <x:v>deethanizer overhead condenser</x:v>
      </x:c>
      <x:c r="I854" t="str">
        <x:v>condenser</x:v>
      </x:c>
      <x:c r="J854" t="str">
        <x:v>P3</x:v>
      </x:c>
      <x:c r="K854" t="str">
        <x:v>COMP</x:v>
      </x:c>
      <x:c r="L854" t="str">
        <x:v>ROT</x:v>
      </x:c>
      <x:c r="M854" t="str">
        <x:v>condenser_fouling</x:v>
      </x:c>
      <x:c r="N854" t="str">
        <x:v>tube leak sus</x:v>
      </x:c>
      <x:c r="O854" t="str">
        <x:v>LEAK</x:v>
      </x:c>
      <x:c r="P854" t="str">
        <x:v>TUBE</x:v>
      </x:c>
      <x:c r="Q854" t="str">
        <x:v>N</x:v>
      </x:c>
      <x:c r="R854" t="str">
        <x:v>10.1</x:v>
      </x:c>
      <x:c r="S854" t="str">
        <x:v>15112.57</x:v>
      </x:c>
      <x:c r="T854" t="str">
        <x:v>E-502 cond not pullng, tube leak sus</x:v>
      </x:c>
      <x:c r="U854" t="str">
        <x:v>C shift called for E-502 deethanizer overhead condenser, drum temp hi seen during condenser fouling. Foud tube leak sus; hydrotest reqd. reset trip and monitored for 2 hrs. temp repair only, plan shutdown job. notif made by ops, maint attended same shift.</x:v>
      </x:c>
    </x:row>
    <x:row r="855" ht="15" hidden="0" customHeight="1">
      <x:c r="A855" t="str">
        <x:v>10450854</x:v>
      </x:c>
      <x:c r="B855" t="str">
        <x:v>40870854</x:v>
      </x:c>
      <x:c r="C855" t="str">
        <x:v>2024-11-02</x:v>
      </x:c>
      <x:c r="D855" t="str">
        <x:v>2024-11-03</x:v>
      </x:c>
      <x:c r="E855" t="str">
        <x:v>2024-11-03</x:v>
      </x:c>
      <x:c r="F855" t="str">
        <x:v>U400-DEETHANIZER-500</x:v>
      </x:c>
      <x:c r="G855" t="str">
        <x:v>FV-501</x:v>
      </x:c>
      <x:c r="H855" t="str">
        <x:v>feed flow control valve</x:v>
      </x:c>
      <x:c r="I855" t="str">
        <x:v>control_valve</x:v>
      </x:c>
      <x:c r="J855" t="str">
        <x:v>P4</x:v>
      </x:c>
      <x:c r="K855" t="str">
        <x:v>COMP</x:v>
      </x:c>
      <x:c r="L855" t="str">
        <x:v>VALVE</x:v>
      </x:c>
      <x:c r="M855" t="str">
        <x:v>reflux_pump_degradation</x:v>
      </x:c>
      <x:c r="N855" t="str">
        <x:v>air leak</x:v>
      </x:c>
      <x:c r="O855" t="str">
        <x:v>AIR_LEAK</x:v>
      </x:c>
      <x:c r="P855" t="str">
        <x:v>TUBING</x:v>
      </x:c>
      <x:c r="Q855" t="str">
        <x:v>N</x:v>
      </x:c>
      <x:c r="R855" t="str">
        <x:v>3.9</x:v>
      </x:c>
      <x:c r="S855" t="str">
        <x:v>1355.31</x:v>
      </x:c>
      <x:c r="T855" t="str">
        <x:v>FV-501 not ok after reflux pump degradation</x:v>
      </x:c>
      <x:c r="U855" t="str">
        <x:v>C shift called for FV-501 feed flow control valve, seal weep seen during reflux pump degradation. Foud air leak; positioner supply drop. cleaned and put back online. still little hunting but acceptable. notif made by ops, maint attended same shift.</x:v>
      </x:c>
    </x:row>
    <x:row r="856" ht="15" hidden="0" customHeight="1">
      <x:c r="A856" t="str">
        <x:v>10450855</x:v>
      </x:c>
      <x:c r="B856" t="str">
        <x:v>40870855</x:v>
      </x:c>
      <x:c r="C856" t="str">
        <x:v>2024-11-03</x:v>
      </x:c>
      <x:c r="D856" t="str">
        <x:v>2024-11-05</x:v>
      </x:c>
      <x:c r="E856" t="str">
        <x:v>2024-11-05</x:v>
      </x:c>
      <x:c r="F856" t="str">
        <x:v>U400-DEETHANIZER-500</x:v>
      </x:c>
      <x:c r="G856" t="str">
        <x:v>V-501</x:v>
      </x:c>
      <x:c r="H856" t="str">
        <x:v>deethanizer reflux drum</x:v>
      </x:c>
      <x:c r="I856" t="str">
        <x:v>vessel</x:v>
      </x:c>
      <x:c r="J856" t="str">
        <x:v>P2</x:v>
      </x:c>
      <x:c r="K856" t="str">
        <x:v>CLSD</x:v>
      </x:c>
      <x:c r="L856" t="str">
        <x:v>INST</x:v>
      </x:c>
      <x:c r="M856" t="str">
        <x:v>feed_flow_step</x:v>
      </x:c>
      <x:c r="N856" t="str">
        <x:v>boot drain leak</x:v>
      </x:c>
      <x:c r="O856" t="str">
        <x:v>LEAK</x:v>
      </x:c>
      <x:c r="P856" t="str">
        <x:v>VALVE</x:v>
      </x:c>
      <x:c r="Q856" t="str">
        <x:v>N</x:v>
      </x:c>
      <x:c r="R856" t="str">
        <x:v>11.5</x:v>
      </x:c>
      <x:c r="S856" t="str">
        <x:v>5230.03</x:v>
      </x:c>
      <x:c r="T856" t="str">
        <x:v>V-501 boot drain leak again</x:v>
      </x:c>
      <x:c r="U856" t="str">
        <x:v>days called for V-501 deethanizer reflux drum, column dp high seen during feed flow step. Foud boot drain leak; closed drain vavle passing. swapped to standby and repaired. still little hunting but acceptable. notif made by ops, maint attended same shift.</x:v>
      </x:c>
    </x:row>
    <x:row r="857" ht="15" hidden="0" customHeight="1">
      <x:c r="A857" t="str">
        <x:v>10450856</x:v>
      </x:c>
      <x:c r="B857" t="str">
        <x:v>40870856</x:v>
      </x:c>
      <x:c r="C857" t="str">
        <x:v>2024-11-02</x:v>
      </x:c>
      <x:c r="D857" t="str">
        <x:v>2024-11-02</x:v>
      </x:c>
      <x:c r="E857" t="str">
        <x:v>2024-11-03</x:v>
      </x:c>
      <x:c r="F857" t="str">
        <x:v>U400-DEETHANIZER-500</x:v>
      </x:c>
      <x:c r="G857" t="str">
        <x:v>P-502A</x:v>
      </x:c>
      <x:c r="H857" t="str">
        <x:v>bottoms pump A</x:v>
      </x:c>
      <x:c r="I857" t="str">
        <x:v>pump</x:v>
      </x:c>
      <x:c r="J857" t="str">
        <x:v>P3</x:v>
      </x:c>
      <x:c r="K857" t="str">
        <x:v>CLSD</x:v>
      </x:c>
      <x:c r="L857" t="str">
        <x:v>OPS+INST</x:v>
      </x:c>
      <x:c r="M857" t="str">
        <x:v>feed_flow_step</x:v>
      </x:c>
      <x:c r="N857" t="str">
        <x:v>low disch press</x:v>
      </x:c>
      <x:c r="O857" t="str">
        <x:v>HYD_LOSS</x:v>
      </x:c>
      <x:c r="P857" t="str">
        <x:v>FOUL</x:v>
      </x:c>
      <x:c r="Q857" t="str">
        <x:v>N</x:v>
      </x:c>
      <x:c r="R857" t="str">
        <x:v>11.3</x:v>
      </x:c>
      <x:c r="S857" t="str">
        <x:v>11374.4</x:v>
      </x:c>
      <x:c r="T857" t="str">
        <x:v>chk P-502A - low disch press frm ops</x:v>
      </x:c>
      <x:c r="U857" t="str">
        <x:v>B shift called for P-502A bottoms pump A, lvl swing seen during feed flow step. Foud low disch press; strainer dirty or impeller wear. calibrated, loop checked with CCR. readng close to dcs after job. notif made by ops, maint attended same shift.</x:v>
      </x:c>
    </x:row>
    <x:row r="858" ht="15" hidden="0" customHeight="1">
      <x:c r="A858" t="str">
        <x:v>10450857</x:v>
      </x:c>
      <x:c r="B858" t="str">
        <x:v>40870857</x:v>
      </x:c>
      <x:c r="C858" t="str">
        <x:v>2024-11-06</x:v>
      </x:c>
      <x:c r="D858" t="str">
        <x:v>2024-11-08</x:v>
      </x:c>
      <x:c r="E858" t="str">
        <x:v>2024-11-10</x:v>
      </x:c>
      <x:c r="F858" t="str">
        <x:v>U400-DEETHANIZER-500</x:v>
      </x:c>
      <x:c r="G858" t="str">
        <x:v>LV-501</x:v>
      </x:c>
      <x:c r="H858" t="str">
        <x:v>reflux drum level valve</x:v>
      </x:c>
      <x:c r="I858" t="str">
        <x:v>control_valve</x:v>
      </x:c>
      <x:c r="J858" t="str">
        <x:v>P4</x:v>
      </x:c>
      <x:c r="K858" t="str">
        <x:v>TECO</x:v>
      </x:c>
      <x:c r="L858" t="str">
        <x:v>OPS+INST</x:v>
      </x:c>
      <x:c r="M858" t="str">
        <x:v>valve_stiction</x:v>
      </x:c>
      <x:c r="N858" t="str">
        <x:v>passing</x:v>
      </x:c>
      <x:c r="O858" t="str">
        <x:v>LEAK_BY</x:v>
      </x:c>
      <x:c r="P858" t="str">
        <x:v>SEAT</x:v>
      </x:c>
      <x:c r="Q858" t="str">
        <x:v>N</x:v>
      </x:c>
      <x:c r="R858" t="str">
        <x:v>15.6</x:v>
      </x:c>
      <x:c r="S858" t="str">
        <x:v>1517.73</x:v>
      </x:c>
      <x:c r="T858" t="str">
        <x:v>LV-501 not ok after valve stiction</x:v>
      </x:c>
      <x:c r="U858" t="str">
        <x:v>night called for LV-501 reflux drum level valve, loop cycling seen during valve stiction. Foud passing; seat leak by. tightened fittings, leak test ok. readng close to dcs after job. notif made by ops, maint attended same shift.</x:v>
      </x:c>
    </x:row>
    <x:row r="859" ht="15" hidden="0" customHeight="1">
      <x:c r="A859" t="str">
        <x:v>10450858</x:v>
      </x:c>
      <x:c r="B859" t="str">
        <x:v>40870858</x:v>
      </x:c>
      <x:c r="C859" t="str">
        <x:v>2024-11-08</x:v>
      </x:c>
      <x:c r="D859" t="str">
        <x:v>2024-11-08</x:v>
      </x:c>
      <x:c r="E859" t="str">
        <x:v>2024-11-09</x:v>
      </x:c>
      <x:c r="F859" t="str">
        <x:v>U400-DEETHANIZER-500</x:v>
      </x:c>
      <x:c r="G859" t="str">
        <x:v>TT-501B</x:v>
      </x:c>
      <x:c r="H859" t="str">
        <x:v>sensitive tray temperature tx</x:v>
      </x:c>
      <x:c r="I859" t="str">
        <x:v>instrument</x:v>
      </x:c>
      <x:c r="J859" t="str">
        <x:v>P2</x:v>
      </x:c>
      <x:c r="K859" t="str">
        <x:v>COMP</x:v>
      </x:c>
      <x:c r="L859" t="str">
        <x:v>INST</x:v>
      </x:c>
      <x:c r="M859" t="str">
        <x:v>reboiler_duty_loss</x:v>
      </x:c>
      <x:c r="N859" t="str">
        <x:v>bad reading</x:v>
      </x:c>
      <x:c r="O859" t="str">
        <x:v>DRIFT</x:v>
      </x:c>
      <x:c r="P859" t="str">
        <x:v>CAL</x:v>
      </x:c>
      <x:c r="Q859" t="str">
        <x:v>N</x:v>
      </x:c>
      <x:c r="R859" t="str">
        <x:v>5.1</x:v>
      </x:c>
      <x:c r="S859" t="str">
        <x:v>1994.11</x:v>
      </x:c>
      <x:c r="T859" t="str">
        <x:v>TT-501B steam/hm valve no resp, bad reading</x:v>
      </x:c>
      <x:c r="U859" t="str">
        <x:v>A shift called for TT-501B sensitive tray temperature tx, steam/hm valve no resp seen during reboiler duty loss. Foud bad reading; needs calib. opened strainer, cleaned black sludge. no leak at handover. notif made by ops, maint attended same shift.</x:v>
      </x:c>
    </x:row>
    <x:row r="860" ht="15" hidden="0" customHeight="1">
      <x:c r="A860" t="str">
        <x:v>10450859</x:v>
      </x:c>
      <x:c r="B860" t="str">
        <x:v>40870859</x:v>
      </x:c>
      <x:c r="C860" t="str">
        <x:v>2024-11-08</x:v>
      </x:c>
      <x:c r="D860" t="str">
        <x:v>2024-11-08</x:v>
      </x:c>
      <x:c r="E860" t="str">
        <x:v>2024-11-13</x:v>
      </x:c>
      <x:c r="F860" t="str">
        <x:v>U400-DEETHANIZER-500</x:v>
      </x:c>
      <x:c r="G860" t="str">
        <x:v>TV-502</x:v>
      </x:c>
      <x:c r="H860" t="str">
        <x:v>condenser cooling valve</x:v>
      </x:c>
      <x:c r="I860" t="str">
        <x:v>control_valve</x:v>
      </x:c>
      <x:c r="J860" t="str">
        <x:v>P2</x:v>
      </x:c>
      <x:c r="K860" t="str">
        <x:v>COMP</x:v>
      </x:c>
      <x:c r="L860" t="str">
        <x:v>INST</x:v>
      </x:c>
      <x:c r="M860" t="str">
        <x:v>condenser_fouling</x:v>
      </x:c>
      <x:c r="N860" t="str">
        <x:v>passing</x:v>
      </x:c>
      <x:c r="O860" t="str">
        <x:v>LEAK_BY</x:v>
      </x:c>
      <x:c r="P860" t="str">
        <x:v>SEAT</x:v>
      </x:c>
      <x:c r="Q860" t="str">
        <x:v>N</x:v>
      </x:c>
      <x:c r="R860" t="str">
        <x:v>12.0</x:v>
      </x:c>
      <x:c r="S860" t="str">
        <x:v>1247.7</x:v>
      </x:c>
      <x:c r="T860" t="str">
        <x:v>TV-502 not ok after condenser fouling</x:v>
      </x:c>
      <x:c r="U860" t="str">
        <x:v>night called for TV-502 condnsr cooling vavle, cw dt low seen during condnsr fouling. Foud passing; seat leak by. Line was hot so job done slow and with ops standing by. cleaned and put back online. ops says ok for now. notif made by ops, maint attended same shift.</x:v>
      </x:c>
    </x:row>
    <x:row r="861" ht="15" hidden="0" customHeight="1">
      <x:c r="A861" t="str">
        <x:v>10450860</x:v>
      </x:c>
      <x:c r="B861" t="str">
        <x:v>40870860</x:v>
      </x:c>
      <x:c r="C861" t="str">
        <x:v>2024-11-11</x:v>
      </x:c>
      <x:c r="D861" t="str">
        <x:v>2024-11-12</x:v>
      </x:c>
      <x:c r="E861" t="str">
        <x:v>2024-11-17</x:v>
      </x:c>
      <x:c r="F861" t="str">
        <x:v>U400-DEETHANIZER-500</x:v>
      </x:c>
      <x:c r="G861" t="str">
        <x:v>PT-501</x:v>
      </x:c>
      <x:c r="H861" t="str">
        <x:v>column overhead pressure tx</x:v>
      </x:c>
      <x:c r="I861" t="str">
        <x:v>instrument</x:v>
      </x:c>
      <x:c r="J861" t="str">
        <x:v>P2</x:v>
      </x:c>
      <x:c r="K861" t="str">
        <x:v>COMP</x:v>
      </x:c>
      <x:c r="L861" t="str">
        <x:v>INST</x:v>
      </x:c>
      <x:c r="M861" t="str">
        <x:v>pressure_control_fault</x:v>
      </x:c>
      <x:c r="N861" t="str">
        <x:v>bad reading</x:v>
      </x:c>
      <x:c r="O861" t="str">
        <x:v>DRIFT</x:v>
      </x:c>
      <x:c r="P861" t="str">
        <x:v>CAL</x:v>
      </x:c>
      <x:c r="Q861" t="str">
        <x:v>N</x:v>
      </x:c>
      <x:c r="R861" t="str">
        <x:v>5.9</x:v>
      </x:c>
      <x:c r="S861" t="str">
        <x:v>5590.77</x:v>
      </x:c>
      <x:c r="T861" t="str">
        <x:v>PT-501 not ok after pressure control fault</x:v>
      </x:c>
      <x:c r="U861" t="str">
        <x:v>days called for PT-501 column overhead pressure tx, pic unstable seen during pressure control fault. Foud bad reading; needs calib. changed gasket and boxed up. readng close to dcs after job. notif made by ops, maint attended same shift.</x:v>
      </x:c>
    </x:row>
    <x:row r="862" ht="15" hidden="0" customHeight="1">
      <x:c r="A862" t="str">
        <x:v>10450861</x:v>
      </x:c>
      <x:c r="B862" t="str">
        <x:v>40870861</x:v>
      </x:c>
      <x:c r="C862" t="str">
        <x:v>2024-11-12</x:v>
      </x:c>
      <x:c r="D862" t="str">
        <x:v>2024-11-13</x:v>
      </x:c>
      <x:c r="E862" t="str">
        <x:v>2024-11-15</x:v>
      </x:c>
      <x:c r="F862" t="str">
        <x:v>U400-DEETHANIZER-500</x:v>
      </x:c>
      <x:c r="G862" t="str">
        <x:v>V-501</x:v>
      </x:c>
      <x:c r="H862" t="str">
        <x:v>deethanizer reflux drum</x:v>
      </x:c>
      <x:c r="I862" t="str">
        <x:v>vessel</x:v>
      </x:c>
      <x:c r="J862" t="str">
        <x:v>P3</x:v>
      </x:c>
      <x:c r="K862" t="str">
        <x:v>TECO</x:v>
      </x:c>
      <x:c r="L862" t="str">
        <x:v>ROT</x:v>
      </x:c>
      <x:c r="M862" t="str">
        <x:v>reflux_pump_degradation</x:v>
      </x:c>
      <x:c r="N862" t="str">
        <x:v>boot drain leak</x:v>
      </x:c>
      <x:c r="O862" t="str">
        <x:v>LEAK</x:v>
      </x:c>
      <x:c r="P862" t="str">
        <x:v>VALVE</x:v>
      </x:c>
      <x:c r="Q862" t="str">
        <x:v>N</x:v>
      </x:c>
      <x:c r="R862" t="str">
        <x:v>16.7</x:v>
      </x:c>
      <x:c r="S862" t="str">
        <x:v>1652.9</x:v>
      </x:c>
      <x:c r="T862" t="str">
        <x:v>V-501 not ok after reflux pump degradation</x:v>
      </x:c>
      <x:c r="U862" t="str">
        <x:v>night called for V-501 deethanizer rflx drum, low rflx seen during rflx pump degradation. Foud boot drain leak; closed drain valve passing. History shows same complain last mnth. reset trip and monitored for 2 hrs. no leak at handover. notif made by ops, maint attended same shift.</x:v>
      </x:c>
    </x:row>
    <x:row r="863" ht="15" hidden="0" customHeight="1">
      <x:c r="A863" t="str">
        <x:v>10450862</x:v>
      </x:c>
      <x:c r="B863" t="str">
        <x:v>40870862</x:v>
      </x:c>
      <x:c r="C863" t="str">
        <x:v>2024-11-10</x:v>
      </x:c>
      <x:c r="D863" t="str">
        <x:v>2024-11-10</x:v>
      </x:c>
      <x:c r="E863" t="str">
        <x:v>2024-11-13</x:v>
      </x:c>
      <x:c r="F863" t="str">
        <x:v>U400-DEETHANIZER-500</x:v>
      </x:c>
      <x:c r="G863" t="str">
        <x:v>FV-502</x:v>
      </x:c>
      <x:c r="H863" t="str">
        <x:v>reflux flow control valve</x:v>
      </x:c>
      <x:c r="I863" t="str">
        <x:v>control_valve</x:v>
      </x:c>
      <x:c r="J863" t="str">
        <x:v>P4</x:v>
      </x:c>
      <x:c r="K863" t="str">
        <x:v>COMP</x:v>
      </x:c>
      <x:c r="L863" t="str">
        <x:v>INST</x:v>
      </x:c>
      <x:c r="M863" t="str">
        <x:v>reflux_pump_degradation</x:v>
      </x:c>
      <x:c r="N863" t="str">
        <x:v>not stroking</x:v>
      </x:c>
      <x:c r="O863" t="str">
        <x:v>NO_TRAVEL</x:v>
      </x:c>
      <x:c r="P863" t="str">
        <x:v>ACT</x:v>
      </x:c>
      <x:c r="Q863" t="str">
        <x:v>N</x:v>
      </x:c>
      <x:c r="R863" t="str">
        <x:v>8.8</x:v>
      </x:c>
      <x:c r="S863" t="str">
        <x:v>1521.49</x:v>
      </x:c>
      <x:c r="T863" t="str">
        <x:v>FV-502 not stroking after upset</x:v>
      </x:c>
      <x:c r="U863" t="str">
        <x:v>A shift called for FV-502 reflux flow control valve, low reflux seen during reflux pump degradation. Foud not stroking; actuator weak. flushed impulse/sample line. no leak at handover. notif made by ops, maint attended same shift.</x:v>
      </x:c>
    </x:row>
    <x:row r="864" ht="15" hidden="0" customHeight="1">
      <x:c r="A864" t="str">
        <x:v>10450863</x:v>
      </x:c>
      <x:c r="B864" t="str">
        <x:v>40870863</x:v>
      </x:c>
      <x:c r="C864" t="str">
        <x:v>2024-11-15</x:v>
      </x:c>
      <x:c r="D864" t="str">
        <x:v>2024-11-15</x:v>
      </x:c>
      <x:c r="E864" t="str">
        <x:v>2024-11-17</x:v>
      </x:c>
      <x:c r="F864" t="str">
        <x:v>U400-DEETHANIZER-500</x:v>
      </x:c>
      <x:c r="G864" t="str">
        <x:v>TT-501B</x:v>
      </x:c>
      <x:c r="H864" t="str">
        <x:v>sensitive tray temperature tx</x:v>
      </x:c>
      <x:c r="I864" t="str">
        <x:v>instrument</x:v>
      </x:c>
      <x:c r="J864" t="str">
        <x:v>P3</x:v>
      </x:c>
      <x:c r="K864" t="str">
        <x:v>CLSD</x:v>
      </x:c>
      <x:c r="L864" t="str">
        <x:v>ANLYZR</x:v>
      </x:c>
      <x:c r="M864" t="str">
        <x:v>feed_temperature_ramp</x:v>
      </x:c>
      <x:c r="N864" t="str">
        <x:v>range err</x:v>
      </x:c>
      <x:c r="O864" t="str">
        <x:v>SPAN</x:v>
      </x:c>
      <x:c r="P864" t="str">
        <x:v>CAL</x:v>
      </x:c>
      <x:c r="Q864" t="str">
        <x:v>N</x:v>
      </x:c>
      <x:c r="R864" t="str">
        <x:v>4.8</x:v>
      </x:c>
      <x:c r="S864" t="str">
        <x:v>2634.41</x:v>
      </x:c>
      <x:c r="T864" t="str">
        <x:v>chk TT-501B - range err frm ops</x:v>
      </x:c>
      <x:c r="U864" t="str">
        <x:v>B shift called for TT-501B sensitive tray temperature tx, spec off seen during feed temperature ramp. Foud range err; span shifted. opened strainer, cleaned black sludge. still little hunting but acceptable. notif made by ops, maint attended same shift.</x:v>
      </x:c>
    </x:row>
    <x:row r="865" ht="15" hidden="0" customHeight="1">
      <x:c r="A865" t="str">
        <x:v>10450864</x:v>
      </x:c>
      <x:c r="B865" t="str">
        <x:v>40870864</x:v>
      </x:c>
      <x:c r="C865" t="str">
        <x:v>2024-11-13</x:v>
      </x:c>
      <x:c r="D865" t="str">
        <x:v>2024-11-14</x:v>
      </x:c>
      <x:c r="E865" t="str">
        <x:v>2024-11-21</x:v>
      </x:c>
      <x:c r="F865" t="str">
        <x:v>U400-DEETHANIZER-500</x:v>
      </x:c>
      <x:c r="G865" t="str">
        <x:v>E-502</x:v>
      </x:c>
      <x:c r="H865" t="str">
        <x:v>deethanizer overhead condenser</x:v>
      </x:c>
      <x:c r="I865" t="str">
        <x:v>condenser</x:v>
      </x:c>
      <x:c r="J865" t="str">
        <x:v>P3</x:v>
      </x:c>
      <x:c r="K865" t="str">
        <x:v>TECO</x:v>
      </x:c>
      <x:c r="L865" t="str">
        <x:v>ANLYZR</x:v>
      </x:c>
      <x:c r="M865" t="str">
        <x:v>condenser_fouling</x:v>
      </x:c>
      <x:c r="N865" t="str">
        <x:v>tv no travel</x:v>
      </x:c>
      <x:c r="O865" t="str">
        <x:v>VALVE</x:v>
      </x:c>
      <x:c r="P865" t="str">
        <x:v>STICK</x:v>
      </x:c>
      <x:c r="Q865" t="str">
        <x:v>N</x:v>
      </x:c>
      <x:c r="R865" t="str">
        <x:v>9.4</x:v>
      </x:c>
      <x:c r="S865" t="str">
        <x:v>7881.78</x:v>
      </x:c>
      <x:c r="T865" t="str">
        <x:v>E-502 tv no travel bad</x:v>
      </x:c>
      <x:c r="U865" t="str">
        <x:v>A shift called for E-502 deethanizer overhead condenser, cond not pullng seen during condenser fouling. Foud tv no travel; cooling valve stuck. calibrated, loop checked with CCR. ops says ok for now. notif made by ops, maint attended same shift.</x:v>
      </x:c>
    </x:row>
    <x:row r="866" ht="15" hidden="0" customHeight="1">
      <x:c r="A866" t="str">
        <x:v>10450865</x:v>
      </x:c>
      <x:c r="B866" t="str">
        <x:v>40870865</x:v>
      </x:c>
      <x:c r="C866" t="str">
        <x:v>2024-11-14</x:v>
      </x:c>
      <x:c r="D866" t="str">
        <x:v>2024-11-14</x:v>
      </x:c>
      <x:c r="E866" t="str">
        <x:v>2024-11-14</x:v>
      </x:c>
      <x:c r="F866" t="str">
        <x:v>U400-DEETHANIZER-500</x:v>
      </x:c>
      <x:c r="G866" t="str">
        <x:v>FV-502</x:v>
      </x:c>
      <x:c r="H866" t="str">
        <x:v>reflux flow control valve</x:v>
      </x:c>
      <x:c r="I866" t="str">
        <x:v>control_valve</x:v>
      </x:c>
      <x:c r="J866" t="str">
        <x:v>P3</x:v>
      </x:c>
      <x:c r="K866" t="str">
        <x:v>TECO</x:v>
      </x:c>
      <x:c r="L866" t="str">
        <x:v>MECH</x:v>
      </x:c>
      <x:c r="M866" t="str">
        <x:v>reflux_pump_degradation</x:v>
      </x:c>
      <x:c r="N866" t="str">
        <x:v>hunting loop</x:v>
      </x:c>
      <x:c r="O866" t="str">
        <x:v>CTRL_OSC</x:v>
      </x:c>
      <x:c r="P866" t="str">
        <x:v>TUNE</x:v>
      </x:c>
      <x:c r="Q866" t="str">
        <x:v>N</x:v>
      </x:c>
      <x:c r="R866" t="str">
        <x:v>5.8</x:v>
      </x:c>
      <x:c r="S866" t="str">
        <x:v>5756.86</x:v>
      </x:c>
      <x:c r="T866" t="str">
        <x:v>FV-502 hunting loop ops req</x:v>
      </x:c>
      <x:c r="U866" t="str">
        <x:v>A shift called for FV-502 reflux flow ctrl valve, pump vib seen during reflux pump degradation. Foud hunting loop; bad response after upset. Line was hot so job done slow and with ops standing by. stroke tested, response better. readng close to dcs after job. notif made by ops, maint attended same shift.</x:v>
      </x:c>
    </x:row>
    <x:row r="867" ht="15" hidden="0" customHeight="1">
      <x:c r="A867" t="str">
        <x:v>10450866</x:v>
      </x:c>
      <x:c r="B867" t="str">
        <x:v>40870866</x:v>
      </x:c>
      <x:c r="C867" t="str">
        <x:v>2024-11-17</x:v>
      </x:c>
      <x:c r="D867" t="str">
        <x:v>2024-11-17</x:v>
      </x:c>
      <x:c r="E867" t="str">
        <x:v>2024-11-17</x:v>
      </x:c>
      <x:c r="F867" t="str">
        <x:v>U400-DEETHANIZER-500</x:v>
      </x:c>
      <x:c r="G867" t="str">
        <x:v>XV-501</x:v>
      </x:c>
      <x:c r="H867" t="str">
        <x:v>feed shutdown valve</x:v>
      </x:c>
      <x:c r="I867" t="str">
        <x:v>shutdown_valve</x:v>
      </x:c>
      <x:c r="J867" t="str">
        <x:v>P2</x:v>
      </x:c>
      <x:c r="K867" t="str">
        <x:v>TECO</x:v>
      </x:c>
      <x:c r="L867" t="str">
        <x:v>OPS+INST</x:v>
      </x:c>
      <x:c r="M867" t="str">
        <x:v>condenser_fouling</x:v>
      </x:c>
      <x:c r="N867" t="str">
        <x:v>partial stroke fail</x:v>
      </x:c>
      <x:c r="O867" t="str">
        <x:v>PST_FAIL</x:v>
      </x:c>
      <x:c r="P867" t="str">
        <x:v>ACT</x:v>
      </x:c>
      <x:c r="Q867" t="str">
        <x:v>N</x:v>
      </x:c>
      <x:c r="R867" t="str">
        <x:v>12.0</x:v>
      </x:c>
      <x:c r="S867" t="str">
        <x:v>5674.56</x:v>
      </x:c>
      <x:c r="T867" t="str">
        <x:v>XV-501 partial stroke fail again, prod upset</x:v>
      </x:c>
      <x:c r="U867" t="str">
        <x:v>days called for XV-501 feed shutdown valve, high ovhd press seen during condnsr fouling. Foud partial stroke fail; slow close/open. No spare in store at first, used refurb one from shop. opened strainer, cleaned black sludge. no leak at handover. notif made by ops, maint attended same shift.</x:v>
      </x:c>
    </x:row>
    <x:row r="868" ht="15" hidden="0" customHeight="1">
      <x:c r="A868" t="str">
        <x:v>10450867</x:v>
      </x:c>
      <x:c r="B868" t="str">
        <x:v>40870867</x:v>
      </x:c>
      <x:c r="C868" t="str">
        <x:v>2024-11-21</x:v>
      </x:c>
      <x:c r="D868" t="str">
        <x:v>2024-11-21</x:v>
      </x:c>
      <x:c r="E868" t="str">
        <x:v>2024-11-21</x:v>
      </x:c>
      <x:c r="F868" t="str">
        <x:v>U400-DEETHANIZER-500</x:v>
      </x:c>
      <x:c r="G868" t="str">
        <x:v>E-501</x:v>
      </x:c>
      <x:c r="H868" t="str">
        <x:v>deethanizer reboiler</x:v>
      </x:c>
      <x:c r="I868" t="str">
        <x:v>reboiler</x:v>
      </x:c>
      <x:c r="J868" t="str">
        <x:v>P2</x:v>
      </x:c>
      <x:c r="K868" t="str">
        <x:v>CLSD</x:v>
      </x:c>
      <x:c r="L868" t="str">
        <x:v>ANLYZR</x:v>
      </x:c>
      <x:c r="M868" t="str">
        <x:v>feed_temperature_ramp</x:v>
      </x:c>
      <x:c r="N868" t="str">
        <x:v>low duty</x:v>
      </x:c>
      <x:c r="O868" t="str">
        <x:v>DUTY_LOSS</x:v>
      </x:c>
      <x:c r="P868" t="str">
        <x:v>UTILITY</x:v>
      </x:c>
      <x:c r="Q868" t="str">
        <x:v>Y</x:v>
      </x:c>
      <x:c r="R868" t="str">
        <x:v>22.8</x:v>
      </x:c>
      <x:c r="S868" t="str">
        <x:v>1527.73</x:v>
      </x:c>
      <x:c r="T868" t="str">
        <x:v>E-501 not ok after feed temperature ramp</x:v>
      </x:c>
      <x:c r="U868" t="str">
        <x:v>C shift called for E-501 deethanizer reboiler, ovhd press moving seen during feed temperature ramp. Foud low duty; hm vavle/strainer issue. History shows same complain last mnth. flushed impulse/sample line. need watch next feed swing. notif made by ops, maint attended same shift.</x:v>
      </x:c>
    </x:row>
    <x:row r="869" ht="15" hidden="0" customHeight="1">
      <x:c r="A869" t="str">
        <x:v>10450868</x:v>
      </x:c>
      <x:c r="B869" t="str">
        <x:v>40870868</x:v>
      </x:c>
      <x:c r="C869" t="str">
        <x:v>2024-11-18</x:v>
      </x:c>
      <x:c r="D869" t="str">
        <x:v>2024-11-18</x:v>
      </x:c>
      <x:c r="E869" t="str">
        <x:v>2024-11-18</x:v>
      </x:c>
      <x:c r="F869" t="str">
        <x:v>U400-DEETHANIZER-500</x:v>
      </x:c>
      <x:c r="G869" t="str">
        <x:v>P-501A</x:v>
      </x:c>
      <x:c r="H869" t="str">
        <x:v>reflux pump A</x:v>
      </x:c>
      <x:c r="I869" t="str">
        <x:v>pump</x:v>
      </x:c>
      <x:c r="J869" t="str">
        <x:v>P4</x:v>
      </x:c>
      <x:c r="K869" t="str">
        <x:v>COMP</x:v>
      </x:c>
      <x:c r="L869" t="str">
        <x:v>OPS+INST</x:v>
      </x:c>
      <x:c r="M869" t="str">
        <x:v>normal_wear</x:v>
      </x:c>
      <x:c r="N869" t="str">
        <x:v>bearing hot</x:v>
      </x:c>
      <x:c r="O869" t="str">
        <x:v>BRG</x:v>
      </x:c>
      <x:c r="P869" t="str">
        <x:v>WEAR</x:v>
      </x:c>
      <x:c r="Q869" t="str">
        <x:v>N</x:v>
      </x:c>
      <x:c r="R869" t="str">
        <x:v>2.4</x:v>
      </x:c>
      <x:c r="S869" t="str">
        <x:v>16381.0</x:v>
      </x:c>
      <x:c r="T869" t="str">
        <x:v>P-501A plugged impulse, bearing hot</x:v>
      </x:c>
      <x:c r="U869" t="str">
        <x:v>A shift called for P-501A reflux pump A, noise seen during normal wear. Foud bearing hot; brg rough, lube dark. changed gasket and boxed up. unit stable now. notif made by ops, maint attended same shift.</x:v>
      </x:c>
    </x:row>
    <x:row r="870" ht="15" hidden="0" customHeight="1">
      <x:c r="A870" t="str">
        <x:v>10450869</x:v>
      </x:c>
      <x:c r="B870" t="str">
        <x:v>40870869</x:v>
      </x:c>
      <x:c r="C870" t="str">
        <x:v>2024-11-23</x:v>
      </x:c>
      <x:c r="D870" t="str">
        <x:v>2024-11-25</x:v>
      </x:c>
      <x:c r="E870" t="str">
        <x:v>2024-11-25</x:v>
      </x:c>
      <x:c r="F870" t="str">
        <x:v>U400-DEETHANIZER-500</x:v>
      </x:c>
      <x:c r="G870" t="str">
        <x:v>FT-502</x:v>
      </x:c>
      <x:c r="H870" t="str">
        <x:v>reflux flow transmitter</x:v>
      </x:c>
      <x:c r="I870" t="str">
        <x:v>instrument</x:v>
      </x:c>
      <x:c r="J870" t="str">
        <x:v>P4</x:v>
      </x:c>
      <x:c r="K870" t="str">
        <x:v>COMP</x:v>
      </x:c>
      <x:c r="L870" t="str">
        <x:v>ANLYZR</x:v>
      </x:c>
      <x:c r="M870" t="str">
        <x:v>reflux_pump_degradation</x:v>
      </x:c>
      <x:c r="N870" t="str">
        <x:v>no signal</x:v>
      </x:c>
      <x:c r="O870" t="str">
        <x:v>NO_SIGNAL</x:v>
      </x:c>
      <x:c r="P870" t="str">
        <x:v>ELEC</x:v>
      </x:c>
      <x:c r="Q870" t="str">
        <x:v>N</x:v>
      </x:c>
      <x:c r="R870" t="str">
        <x:v>11.4</x:v>
      </x:c>
      <x:c r="S870" t="str">
        <x:v>2576.6</x:v>
      </x:c>
      <x:c r="T870" t="str">
        <x:v>chk FT-502 - no signal frm ops</x:v>
      </x:c>
      <x:c r="U870" t="str">
        <x:v>night called for FT-502 reflux flow transmitter, low reflux seen during reflux pump degradation. Foud no signal; 24v or card issue. flushed impulse/sample line. no leak at handover. notif made by ops, maint attended same shift.</x:v>
      </x:c>
    </x:row>
    <x:row r="871" ht="15" hidden="0" customHeight="1">
      <x:c r="A871" t="str">
        <x:v>10450870</x:v>
      </x:c>
      <x:c r="B871" t="str">
        <x:v>40870870</x:v>
      </x:c>
      <x:c r="C871" t="str">
        <x:v>2024-11-25</x:v>
      </x:c>
      <x:c r="D871" t="str">
        <x:v>2024-11-27</x:v>
      </x:c>
      <x:c r="E871" t="str">
        <x:v>2024-11-28</x:v>
      </x:c>
      <x:c r="F871" t="str">
        <x:v>U400-DEETHANIZER-500</x:v>
      </x:c>
      <x:c r="G871" t="str">
        <x:v>FV-502</x:v>
      </x:c>
      <x:c r="H871" t="str">
        <x:v>reflux flow control valve</x:v>
      </x:c>
      <x:c r="I871" t="str">
        <x:v>control_valve</x:v>
      </x:c>
      <x:c r="J871" t="str">
        <x:v>P2</x:v>
      </x:c>
      <x:c r="K871" t="str">
        <x:v>TECO</x:v>
      </x:c>
      <x:c r="L871" t="str">
        <x:v>VALVE</x:v>
      </x:c>
      <x:c r="M871" t="str">
        <x:v>valve_stiction</x:v>
      </x:c>
      <x:c r="N871" t="str">
        <x:v>passing</x:v>
      </x:c>
      <x:c r="O871" t="str">
        <x:v>LEAK_BY</x:v>
      </x:c>
      <x:c r="P871" t="str">
        <x:v>SEAT</x:v>
      </x:c>
      <x:c r="Q871" t="str">
        <x:v>Y</x:v>
      </x:c>
      <x:c r="R871" t="str">
        <x:v>7.4</x:v>
      </x:c>
      <x:c r="S871" t="str">
        <x:v>2561.64</x:v>
      </x:c>
      <x:c r="T871" t="str">
        <x:v>FV-502 not ok after vavle stiction</x:v>
      </x:c>
      <x:c r="U871" t="str">
        <x:v>night called for FV-502 reflux flow control valve, op jumps seen during valve stiction. Foud passing; seat leak by. flushed impulse/sample line. need watch next feed swing. notif made by ops, maint attended same shift.</x:v>
      </x:c>
    </x:row>
    <x:row r="872" ht="15" hidden="0" customHeight="1">
      <x:c r="A872" t="str">
        <x:v>10450871</x:v>
      </x:c>
      <x:c r="B872" t="str">
        <x:v>40870871</x:v>
      </x:c>
      <x:c r="C872" t="str">
        <x:v>2024-11-22</x:v>
      </x:c>
      <x:c r="D872" t="str">
        <x:v>2024-11-24</x:v>
      </x:c>
      <x:c r="E872" t="str">
        <x:v>2024-11-29</x:v>
      </x:c>
      <x:c r="F872" t="str">
        <x:v>U400-DEETHANIZER-500</x:v>
      </x:c>
      <x:c r="G872" t="str">
        <x:v>E-501</x:v>
      </x:c>
      <x:c r="H872" t="str">
        <x:v>deethanizer reboiler</x:v>
      </x:c>
      <x:c r="I872" t="str">
        <x:v>reboiler</x:v>
      </x:c>
      <x:c r="J872" t="str">
        <x:v>P3</x:v>
      </x:c>
      <x:c r="K872" t="str">
        <x:v>COMP</x:v>
      </x:c>
      <x:c r="L872" t="str">
        <x:v>INST</x:v>
      </x:c>
      <x:c r="M872" t="str">
        <x:v>reboiler_duty_loss</x:v>
      </x:c>
      <x:c r="N872" t="str">
        <x:v>circ poor</x:v>
      </x:c>
      <x:c r="O872" t="str">
        <x:v>NO_FLOW</x:v>
      </x:c>
      <x:c r="P872" t="str">
        <x:v>PLUG</x:v>
      </x:c>
      <x:c r="Q872" t="str">
        <x:v>N</x:v>
      </x:c>
      <x:c r="R872" t="str">
        <x:v>3.7</x:v>
      </x:c>
      <x:c r="S872" t="str">
        <x:v>8300.63</x:v>
      </x:c>
      <x:c r="T872" t="str">
        <x:v>E-501 circ poor temp fix</x:v>
      </x:c>
      <x:c r="U872" t="str">
        <x:v>night called for E-501 deethanizer reboiler, tray temp low seen during reboiler duty loss. Foud circ poor; blocked inlet screen. Tag plate dirty, confirmd by line up with panel. opened strainer, cleaned black sludge. temp repair only, plan shutdown job. notif made by ops, maint attended same shift.</x:v>
      </x:c>
    </x:row>
    <x:row r="873" ht="15" hidden="0" customHeight="1">
      <x:c r="A873" t="str">
        <x:v>10450872</x:v>
      </x:c>
      <x:c r="B873" t="str">
        <x:v>40870872</x:v>
      </x:c>
      <x:c r="C873" t="str">
        <x:v>2024-11-24</x:v>
      </x:c>
      <x:c r="D873" t="str">
        <x:v>2024-11-24</x:v>
      </x:c>
      <x:c r="E873" t="str">
        <x:v>2024-11-24</x:v>
      </x:c>
      <x:c r="F873" t="str">
        <x:v>U400-DEETHANIZER-500</x:v>
      </x:c>
      <x:c r="G873" t="str">
        <x:v>P-501A</x:v>
      </x:c>
      <x:c r="H873" t="str">
        <x:v>reflux pump A</x:v>
      </x:c>
      <x:c r="I873" t="str">
        <x:v>pump</x:v>
      </x:c>
      <x:c r="J873" t="str">
        <x:v>P3</x:v>
      </x:c>
      <x:c r="K873" t="str">
        <x:v>TECO</x:v>
      </x:c>
      <x:c r="L873" t="str">
        <x:v>VALVE</x:v>
      </x:c>
      <x:c r="M873" t="str">
        <x:v>reflux_pump_degradation</x:v>
      </x:c>
      <x:c r="N873" t="str">
        <x:v>vib high</x:v>
      </x:c>
      <x:c r="O873" t="str">
        <x:v>VIB</x:v>
      </x:c>
      <x:c r="P873" t="str">
        <x:v>ALIGN</x:v>
      </x:c>
      <x:c r="Q873" t="str">
        <x:v>N</x:v>
      </x:c>
      <x:c r="R873" t="str">
        <x:v>1.4</x:v>
      </x:c>
      <x:c r="S873" t="str">
        <x:v>6017.16</x:v>
      </x:c>
      <x:c r="T873" t="str">
        <x:v>P-501A vib high after upset</x:v>
      </x:c>
      <x:c r="U873" t="str">
        <x:v>A shift called for P-501A reflux pump A, seal weep seen during reflux pump degradation. Foud vib high; coupling align or cavitation. History shows same complain last mnth. cleaned and put back online. still little hunting but acceptable. notif made by ops, maint attended same shift.</x:v>
      </x:c>
    </x:row>
    <x:row r="874" ht="15" hidden="0" customHeight="1">
      <x:c r="A874" t="str">
        <x:v>10450873</x:v>
      </x:c>
      <x:c r="B874" t="str">
        <x:v>40870873</x:v>
      </x:c>
      <x:c r="C874" t="str">
        <x:v>2024-11-28</x:v>
      </x:c>
      <x:c r="D874" t="str">
        <x:v>2024-11-29</x:v>
      </x:c>
      <x:c r="E874" t="str">
        <x:v>2024-11-29</x:v>
      </x:c>
      <x:c r="F874" t="str">
        <x:v>U400-DEETHANIZER-500</x:v>
      </x:c>
      <x:c r="G874" t="str">
        <x:v>AIT-501</x:v>
      </x:c>
      <x:c r="H874" t="str">
        <x:v>overhead C2 analyzer</x:v>
      </x:c>
      <x:c r="I874" t="str">
        <x:v>analyzer</x:v>
      </x:c>
      <x:c r="J874" t="str">
        <x:v>P4</x:v>
      </x:c>
      <x:c r="K874" t="str">
        <x:v>TECO</x:v>
      </x:c>
      <x:c r="L874" t="str">
        <x:v>ANLYZR</x:v>
      </x:c>
      <x:c r="M874" t="str">
        <x:v>valve_stiction</x:v>
      </x:c>
      <x:c r="N874" t="str">
        <x:v>sample plugged</x:v>
      </x:c>
      <x:c r="O874" t="str">
        <x:v>PLUG</x:v>
      </x:c>
      <x:c r="P874" t="str">
        <x:v>SAMPLE</x:v>
      </x:c>
      <x:c r="Q874" t="str">
        <x:v>N</x:v>
      </x:c>
      <x:c r="R874" t="str">
        <x:v>7.7</x:v>
      </x:c>
      <x:c r="S874" t="str">
        <x:v>73.87</x:v>
      </x:c>
      <x:c r="T874" t="str">
        <x:v>AIT-501 valve sticking, sample plugged</x:v>
      </x:c>
      <x:c r="U874" t="str">
        <x:v>night called for AIT-501 overhead C2 analyzer, air leak seen during valve stiction. Foud sample plugged; fast loop low flow. cleaned and put back online. no leak at handover. notif made by ops, maint attended same shift.</x:v>
      </x:c>
    </x:row>
    <x:row r="875" ht="15" hidden="0" customHeight="1">
      <x:c r="A875" t="str">
        <x:v>10450874</x:v>
      </x:c>
      <x:c r="B875" t="str">
        <x:v>40870874</x:v>
      </x:c>
      <x:c r="C875" t="str">
        <x:v>2024-11-28</x:v>
      </x:c>
      <x:c r="D875" t="str">
        <x:v>2024-11-28</x:v>
      </x:c>
      <x:c r="E875" t="str">
        <x:v>2024-11-30</x:v>
      </x:c>
      <x:c r="F875" t="str">
        <x:v>U400-DEETHANIZER-500</x:v>
      </x:c>
      <x:c r="G875" t="str">
        <x:v>T-501</x:v>
      </x:c>
      <x:c r="H875" t="str">
        <x:v>deethanizer column</x:v>
      </x:c>
      <x:c r="I875" t="str">
        <x:v>column</x:v>
      </x:c>
      <x:c r="J875" t="str">
        <x:v>P4</x:v>
      </x:c>
      <x:c r="K875" t="str">
        <x:v>COMP</x:v>
      </x:c>
      <x:c r="L875" t="str">
        <x:v>ROT</x:v>
      </x:c>
      <x:c r="M875" t="str">
        <x:v>feed_composition_shift</x:v>
      </x:c>
      <x:c r="N875" t="str">
        <x:v>dp high</x:v>
      </x:c>
      <x:c r="O875" t="str">
        <x:v>DP_HIGH</x:v>
      </x:c>
      <x:c r="P875" t="str">
        <x:v>FOAM</x:v>
      </x:c>
      <x:c r="Q875" t="str">
        <x:v>N</x:v>
      </x:c>
      <x:c r="R875" t="str">
        <x:v>12.7</x:v>
      </x:c>
      <x:c r="S875" t="str">
        <x:v>4191.22</x:v>
      </x:c>
      <x:c r="T875" t="str">
        <x:v>T-501 dp high again, prod upset</x:v>
      </x:c>
      <x:c r="U875" t="str">
        <x:v>A shift called for T-501 deethanizer column, ovhd c3 slip seen during feed composition shift. Foud dp high; trays loading or foaming. Could not get permit first time waiting area gas test. flushed impulse/sample line. need watch next feed swing. notif made by ops, maint attended same shift.</x:v>
      </x:c>
    </x:row>
    <x:row r="876" ht="15" hidden="0" customHeight="1">
      <x:c r="A876" t="str">
        <x:v>10450875</x:v>
      </x:c>
      <x:c r="B876" t="str">
        <x:v>40870875</x:v>
      </x:c>
      <x:c r="C876" t="str">
        <x:v>2024-11-30</x:v>
      </x:c>
      <x:c r="D876" t="str">
        <x:v>2024-12-01</x:v>
      </x:c>
      <x:c r="E876" t="str">
        <x:v>2024-12-02</x:v>
      </x:c>
      <x:c r="F876" t="str">
        <x:v>U400-DEETHANIZER-500</x:v>
      </x:c>
      <x:c r="G876" t="str">
        <x:v>TV-502</x:v>
      </x:c>
      <x:c r="H876" t="str">
        <x:v>condenser cooling valve</x:v>
      </x:c>
      <x:c r="I876" t="str">
        <x:v>control_valve</x:v>
      </x:c>
      <x:c r="J876" t="str">
        <x:v>P2</x:v>
      </x:c>
      <x:c r="K876" t="str">
        <x:v>CLSD</x:v>
      </x:c>
      <x:c r="L876" t="str">
        <x:v>INST</x:v>
      </x:c>
      <x:c r="M876" t="str">
        <x:v>reboiler_duty_loss</x:v>
      </x:c>
      <x:c r="N876" t="str">
        <x:v>not stroking</x:v>
      </x:c>
      <x:c r="O876" t="str">
        <x:v>NO_TRAVEL</x:v>
      </x:c>
      <x:c r="P876" t="str">
        <x:v>ACT</x:v>
      </x:c>
      <x:c r="Q876" t="str">
        <x:v>N</x:v>
      </x:c>
      <x:c r="R876" t="str">
        <x:v>2.8</x:v>
      </x:c>
      <x:c r="S876" t="str">
        <x:v>2348.56</x:v>
      </x:c>
      <x:c r="T876" t="str">
        <x:v>TV-502 c2 in btm, not stroking</x:v>
      </x:c>
      <x:c r="U876" t="str">
        <x:v>days called for TV-502 condenser cooling valve, steam/hm valve no resp seen during reboiler duty loss. Foud not stroking; actuator weak. swapped to standby and repaired. ops says ok for now. notif made by ops, maint attended same shift.</x:v>
      </x:c>
    </x:row>
    <x:row r="877" ht="15" hidden="0" customHeight="1">
      <x:c r="A877" t="str">
        <x:v>10450876</x:v>
      </x:c>
      <x:c r="B877" t="str">
        <x:v>40870876</x:v>
      </x:c>
      <x:c r="C877" t="str">
        <x:v>2024-11-30</x:v>
      </x:c>
      <x:c r="D877" t="str">
        <x:v>2024-12-01</x:v>
      </x:c>
      <x:c r="E877" t="str">
        <x:v>2024-12-03</x:v>
      </x:c>
      <x:c r="F877" t="str">
        <x:v>U400-DEETHANIZER-500</x:v>
      </x:c>
      <x:c r="G877" t="str">
        <x:v>P-501B</x:v>
      </x:c>
      <x:c r="H877" t="str">
        <x:v>reflux pump B</x:v>
      </x:c>
      <x:c r="I877" t="str">
        <x:v>pump</x:v>
      </x:c>
      <x:c r="J877" t="str">
        <x:v>P3</x:v>
      </x:c>
      <x:c r="K877" t="str">
        <x:v>CLSD</x:v>
      </x:c>
      <x:c r="L877" t="str">
        <x:v>INST</x:v>
      </x:c>
      <x:c r="M877" t="str">
        <x:v>feed_temperature_ramp</x:v>
      </x:c>
      <x:c r="N877" t="str">
        <x:v>motor trip</x:v>
      </x:c>
      <x:c r="O877" t="str">
        <x:v>MOTOR</x:v>
      </x:c>
      <x:c r="P877" t="str">
        <x:v>ELEC</x:v>
      </x:c>
      <x:c r="Q877" t="str">
        <x:v>N</x:v>
      </x:c>
      <x:c r="R877" t="str">
        <x:v>18.0</x:v>
      </x:c>
      <x:c r="S877" t="str">
        <x:v>8271.41</x:v>
      </x:c>
      <x:c r="T877" t="str">
        <x:v>chk P-501B - motor trip frm ops</x:v>
      </x:c>
      <x:c r="U877" t="str">
        <x:v>A shift called for P-501B reflux pump B, feed temp high seen during feed temperature ramp. Foud motor trip; overload trip after upset. tightened fittings, leak test ok. need watch next feed swing. notif made by ops, maint attended same shift.</x:v>
      </x:c>
    </x:row>
    <x:row r="878" ht="15" hidden="0" customHeight="1">
      <x:c r="A878" t="str">
        <x:v>10450877</x:v>
      </x:c>
      <x:c r="B878" t="str">
        <x:v>40870877</x:v>
      </x:c>
      <x:c r="C878" t="str">
        <x:v>2024-12-04</x:v>
      </x:c>
      <x:c r="D878" t="str">
        <x:v>2024-12-04</x:v>
      </x:c>
      <x:c r="E878" t="str">
        <x:v>2024-12-06</x:v>
      </x:c>
      <x:c r="F878" t="str">
        <x:v>U400-DEETHANIZER-500</x:v>
      </x:c>
      <x:c r="G878" t="str">
        <x:v>FT-502</x:v>
      </x:c>
      <x:c r="H878" t="str">
        <x:v>reflux flow transmitter</x:v>
      </x:c>
      <x:c r="I878" t="str">
        <x:v>instrument</x:v>
      </x:c>
      <x:c r="J878" t="str">
        <x:v>P3</x:v>
      </x:c>
      <x:c r="K878" t="str">
        <x:v>TECO</x:v>
      </x:c>
      <x:c r="L878" t="str">
        <x:v>E&amp;I</x:v>
      </x:c>
      <x:c r="M878" t="str">
        <x:v>reflux_pump_degradation</x:v>
      </x:c>
      <x:c r="N878" t="str">
        <x:v>range err</x:v>
      </x:c>
      <x:c r="O878" t="str">
        <x:v>SPAN</x:v>
      </x:c>
      <x:c r="P878" t="str">
        <x:v>CAL</x:v>
      </x:c>
      <x:c r="Q878" t="str">
        <x:v>N</x:v>
      </x:c>
      <x:c r="R878" t="str">
        <x:v>4.5</x:v>
      </x:c>
      <x:c r="S878" t="str">
        <x:v>1359.88</x:v>
      </x:c>
      <x:c r="T878" t="str">
        <x:v>chk FT-502 - range err frm ops</x:v>
      </x:c>
      <x:c r="U878" t="str">
        <x:v>A shift called for FT-502 rflx flow transmitter, min flow hot seen during rflx pump degradation. Foud range err; span shifted. History shows same complain last mnth. swapped to standby and repaired. readng close to dcs after job. notif made by ops, maint attended same shift.</x:v>
      </x:c>
    </x:row>
    <x:row r="879" ht="15" hidden="0" customHeight="1">
      <x:c r="A879" t="str">
        <x:v>10450878</x:v>
      </x:c>
      <x:c r="B879" t="str">
        <x:v>40870878</x:v>
      </x:c>
      <x:c r="C879" t="str">
        <x:v>2024-12-03</x:v>
      </x:c>
      <x:c r="D879" t="str">
        <x:v>2024-12-04</x:v>
      </x:c>
      <x:c r="E879" t="str">
        <x:v>2024-12-09</x:v>
      </x:c>
      <x:c r="F879" t="str">
        <x:v>U400-DEETHANIZER-500</x:v>
      </x:c>
      <x:c r="G879" t="str">
        <x:v>FT-502</x:v>
      </x:c>
      <x:c r="H879" t="str">
        <x:v>reflux flow transmitter</x:v>
      </x:c>
      <x:c r="I879" t="str">
        <x:v>instrument</x:v>
      </x:c>
      <x:c r="J879" t="str">
        <x:v>P2</x:v>
      </x:c>
      <x:c r="K879" t="str">
        <x:v>CLSD</x:v>
      </x:c>
      <x:c r="L879" t="str">
        <x:v>INST</x:v>
      </x:c>
      <x:c r="M879" t="str">
        <x:v>reflux_pump_degradation</x:v>
      </x:c>
      <x:c r="N879" t="str">
        <x:v>no signal</x:v>
      </x:c>
      <x:c r="O879" t="str">
        <x:v>NO_SIGNAL</x:v>
      </x:c>
      <x:c r="P879" t="str">
        <x:v>ELEC</x:v>
      </x:c>
      <x:c r="Q879" t="str">
        <x:v>Y</x:v>
      </x:c>
      <x:c r="R879" t="str">
        <x:v>9.8</x:v>
      </x:c>
      <x:c r="S879" t="str">
        <x:v>5395.97</x:v>
      </x:c>
      <x:c r="T879" t="str">
        <x:v>FT-502 no signal after upset</x:v>
      </x:c>
      <x:c r="U879" t="str">
        <x:v>night called for FT-502 reflux flow transmitter, pump vib seen during reflux pump degradation. Foud no signal; 24v or card issue. History shows same complain last mnth. reset trip and monitored for 2 hrs. need watch next feed swing. notif made by ops, maint attended same shift.</x:v>
      </x:c>
    </x:row>
    <x:row r="880" ht="15" hidden="0" customHeight="1">
      <x:c r="A880" t="str">
        <x:v>10450879</x:v>
      </x:c>
      <x:c r="B880" t="str">
        <x:v>40870879</x:v>
      </x:c>
      <x:c r="C880" t="str">
        <x:v>2024-12-07</x:v>
      </x:c>
      <x:c r="D880" t="str">
        <x:v>2024-12-08</x:v>
      </x:c>
      <x:c r="E880" t="str">
        <x:v>2024-12-09</x:v>
      </x:c>
      <x:c r="F880" t="str">
        <x:v>U400-DEETHANIZER-500</x:v>
      </x:c>
      <x:c r="G880" t="str">
        <x:v>E-501</x:v>
      </x:c>
      <x:c r="H880" t="str">
        <x:v>deethanizer reboiler</x:v>
      </x:c>
      <x:c r="I880" t="str">
        <x:v>reboiler</x:v>
      </x:c>
      <x:c r="J880" t="str">
        <x:v>P3</x:v>
      </x:c>
      <x:c r="K880" t="str">
        <x:v>CLSD</x:v>
      </x:c>
      <x:c r="L880" t="str">
        <x:v>ROT</x:v>
      </x:c>
      <x:c r="M880" t="str">
        <x:v>feed_temperature_ramp</x:v>
      </x:c>
      <x:c r="N880" t="str">
        <x:v>rb leak</x:v>
      </x:c>
      <x:c r="O880" t="str">
        <x:v>LEAK</x:v>
      </x:c>
      <x:c r="P880" t="str">
        <x:v>GASKET</x:v>
      </x:c>
      <x:c r="Q880" t="str">
        <x:v>N</x:v>
      </x:c>
      <x:c r="R880" t="str">
        <x:v>5.5</x:v>
      </x:c>
      <x:c r="S880" t="str">
        <x:v>5677.26</x:v>
      </x:c>
      <x:c r="T880" t="str">
        <x:v>E-501 rb leak again, prod upset</x:v>
      </x:c>
      <x:c r="U880" t="str">
        <x:v>A shift called for E-501 deethanizer rebiler, ovhd press moving seen during feed temperature ramp. Foud rb leak; channel flange weep. Line was hot so job done slow and with ops standing by. reset trip and monitored for 2 hrs. need watch next feed swing. notif made by ops, maint attended same shift.</x:v>
      </x:c>
    </x:row>
    <x:row r="881" ht="15" hidden="0" customHeight="1">
      <x:c r="A881" t="str">
        <x:v>10450880</x:v>
      </x:c>
      <x:c r="B881" t="str">
        <x:v>40870880</x:v>
      </x:c>
      <x:c r="C881" t="str">
        <x:v>2024-12-09</x:v>
      </x:c>
      <x:c r="D881" t="str">
        <x:v>2024-12-09</x:v>
      </x:c>
      <x:c r="E881" t="str">
        <x:v>2024-12-11</x:v>
      </x:c>
      <x:c r="F881" t="str">
        <x:v>U400-DEETHANIZER-500</x:v>
      </x:c>
      <x:c r="G881" t="str">
        <x:v>TV-501</x:v>
      </x:c>
      <x:c r="H881" t="str">
        <x:v>reboiler hot medium valve</x:v>
      </x:c>
      <x:c r="I881" t="str">
        <x:v>control_valve</x:v>
      </x:c>
      <x:c r="J881" t="str">
        <x:v>P3</x:v>
      </x:c>
      <x:c r="K881" t="str">
        <x:v>COMP</x:v>
      </x:c>
      <x:c r="L881" t="str">
        <x:v>ANLYZR</x:v>
      </x:c>
      <x:c r="M881" t="str">
        <x:v>feed_temperature_ramp</x:v>
      </x:c>
      <x:c r="N881" t="str">
        <x:v>air leak</x:v>
      </x:c>
      <x:c r="O881" t="str">
        <x:v>AIR_LEAK</x:v>
      </x:c>
      <x:c r="P881" t="str">
        <x:v>TUBING</x:v>
      </x:c>
      <x:c r="Q881" t="str">
        <x:v>N</x:v>
      </x:c>
      <x:c r="R881" t="str">
        <x:v>14.8</x:v>
      </x:c>
      <x:c r="S881" t="str">
        <x:v>3680.73</x:v>
      </x:c>
      <x:c r="T881" t="str">
        <x:v>TV-501 feed temp high, air leak</x:v>
      </x:c>
      <x:c r="U881" t="str">
        <x:v>A shift called for TV-501 reboiler hot medium valve, rb duty up seen during feed temperature ramp. Foud air leak; positioner supply drop. stroke tested, response better. temp repair only, plan shutdown job. notif made by ops, maint attended same shift.</x:v>
      </x:c>
    </x:row>
    <x:row r="882" ht="15" hidden="0" customHeight="1">
      <x:c r="A882" t="str">
        <x:v>10450881</x:v>
      </x:c>
      <x:c r="B882" t="str">
        <x:v>40870881</x:v>
      </x:c>
      <x:c r="C882" t="str">
        <x:v>2024-12-10</x:v>
      </x:c>
      <x:c r="D882" t="str">
        <x:v>2024-12-10</x:v>
      </x:c>
      <x:c r="E882" t="str">
        <x:v>2024-12-12</x:v>
      </x:c>
      <x:c r="F882" t="str">
        <x:v>U400-DEETHANIZER-500</x:v>
      </x:c>
      <x:c r="G882" t="str">
        <x:v>AIT-501</x:v>
      </x:c>
      <x:c r="H882" t="str">
        <x:v>overhead C2 analyzer</x:v>
      </x:c>
      <x:c r="I882" t="str">
        <x:v>analyzer</x:v>
      </x:c>
      <x:c r="J882" t="str">
        <x:v>P3</x:v>
      </x:c>
      <x:c r="K882" t="str">
        <x:v>COMP</x:v>
      </x:c>
      <x:c r="L882" t="str">
        <x:v>OPS+INST</x:v>
      </x:c>
      <x:c r="M882" t="str">
        <x:v>feed_composition_shift</x:v>
      </x:c>
      <x:c r="N882" t="str">
        <x:v>condensate in sample</x:v>
      </x:c>
      <x:c r="O882" t="str">
        <x:v>LIQ_CARRY</x:v>
      </x:c>
      <x:c r="P882" t="str">
        <x:v>SAMPLE</x:v>
      </x:c>
      <x:c r="Q882" t="str">
        <x:v>N</x:v>
      </x:c>
      <x:c r="R882" t="str">
        <x:v>11.5</x:v>
      </x:c>
      <x:c r="S882" t="str">
        <x:v>4808.41</x:v>
      </x:c>
      <x:c r="T882" t="str">
        <x:v>AIT-501 condensate in sample noisy</x:v>
      </x:c>
      <x:c r="U882" t="str">
        <x:v>C shift called for AIT-501 overhead C2 analyzer, quality bad seen during feed composition shift. Foud condensate in sample; knockout pot full. History shows same complain last mnth. replaced positioner tubing and retuned small. temp repair only, plan shutdown job. notif made by ops, maint attended same shift.</x:v>
      </x:c>
    </x:row>
    <x:row r="883" ht="15" hidden="0" customHeight="1">
      <x:c r="A883" t="str">
        <x:v>10450882</x:v>
      </x:c>
      <x:c r="B883" t="str">
        <x:v>40870882</x:v>
      </x:c>
      <x:c r="C883" t="str">
        <x:v>2024-12-13</x:v>
      </x:c>
      <x:c r="D883" t="str">
        <x:v>2024-12-13</x:v>
      </x:c>
      <x:c r="E883" t="str">
        <x:v>2024-12-16</x:v>
      </x:c>
      <x:c r="F883" t="str">
        <x:v>U400-DEETHANIZER-500</x:v>
      </x:c>
      <x:c r="G883" t="str">
        <x:v>P-501B</x:v>
      </x:c>
      <x:c r="H883" t="str">
        <x:v>reflux pump B</x:v>
      </x:c>
      <x:c r="I883" t="str">
        <x:v>pump</x:v>
      </x:c>
      <x:c r="J883" t="str">
        <x:v>P1</x:v>
      </x:c>
      <x:c r="K883" t="str">
        <x:v>TECO</x:v>
      </x:c>
      <x:c r="L883" t="str">
        <x:v>OPS+INST</x:v>
      </x:c>
      <x:c r="M883" t="str">
        <x:v>valve_stiction</x:v>
      </x:c>
      <x:c r="N883" t="str">
        <x:v>low disch press</x:v>
      </x:c>
      <x:c r="O883" t="str">
        <x:v>HYD_LOSS</x:v>
      </x:c>
      <x:c r="P883" t="str">
        <x:v>FOUL</x:v>
      </x:c>
      <x:c r="Q883" t="str">
        <x:v>N</x:v>
      </x:c>
      <x:c r="R883" t="str">
        <x:v>2.9</x:v>
      </x:c>
      <x:c r="S883" t="str">
        <x:v>8655.71</x:v>
      </x:c>
      <x:c r="T883" t="str">
        <x:v>P-501B loop cycling, low disch press</x:v>
      </x:c>
      <x:c r="U883" t="str">
        <x:v>days called for P-501B reflux pump B, valve sticking seen during valve stiction. Foud low disch press; strainer dirty or impeller wear. tightened fittings, leak test ok. ops says ok for now. notif made by ops, maint attended same shift.</x:v>
      </x:c>
    </x:row>
    <x:row r="884" ht="15" hidden="0" customHeight="1">
      <x:c r="A884" t="str">
        <x:v>10450883</x:v>
      </x:c>
      <x:c r="B884" t="str">
        <x:v>40870883</x:v>
      </x:c>
      <x:c r="C884" t="str">
        <x:v>2024-12-11</x:v>
      </x:c>
      <x:c r="D884" t="str">
        <x:v>2024-12-11</x:v>
      </x:c>
      <x:c r="E884" t="str">
        <x:v>2024-12-16</x:v>
      </x:c>
      <x:c r="F884" t="str">
        <x:v>U400-DEETHANIZER-500</x:v>
      </x:c>
      <x:c r="G884" t="str">
        <x:v>LV-501</x:v>
      </x:c>
      <x:c r="H884" t="str">
        <x:v>reflux drum level valve</x:v>
      </x:c>
      <x:c r="I884" t="str">
        <x:v>control_valve</x:v>
      </x:c>
      <x:c r="J884" t="str">
        <x:v>P2</x:v>
      </x:c>
      <x:c r="K884" t="str">
        <x:v>TECO</x:v>
      </x:c>
      <x:c r="L884" t="str">
        <x:v>OPS+INST</x:v>
      </x:c>
      <x:c r="M884" t="str">
        <x:v>valve_stiction</x:v>
      </x:c>
      <x:c r="N884" t="str">
        <x:v>not stroking</x:v>
      </x:c>
      <x:c r="O884" t="str">
        <x:v>NO_TRAVEL</x:v>
      </x:c>
      <x:c r="P884" t="str">
        <x:v>ACT</x:v>
      </x:c>
      <x:c r="Q884" t="str">
        <x:v>N</x:v>
      </x:c>
      <x:c r="R884" t="str">
        <x:v>15.5</x:v>
      </x:c>
      <x:c r="S884" t="str">
        <x:v>5168.23</x:v>
      </x:c>
      <x:c r="T884" t="str">
        <x:v>LV-501 not stroking again, prod upset</x:v>
      </x:c>
      <x:c r="U884" t="str">
        <x:v>A shift called for LV-501 rflx drum level vavle, loop cycling seen during vavle stiction. Foud not stroking; actuator weak. reset trip and monitored for 2 hrs. unit stable now. notif made by ops, maint attended same shift.</x:v>
      </x:c>
    </x:row>
    <x:row r="885" ht="15" hidden="0" customHeight="1">
      <x:c r="A885" t="str">
        <x:v>10450884</x:v>
      </x:c>
      <x:c r="B885" t="str">
        <x:v>40870884</x:v>
      </x:c>
      <x:c r="C885" t="str">
        <x:v>2024-12-15</x:v>
      </x:c>
      <x:c r="D885" t="str">
        <x:v>2024-12-16</x:v>
      </x:c>
      <x:c r="E885" t="str">
        <x:v>2024-12-18</x:v>
      </x:c>
      <x:c r="F885" t="str">
        <x:v>U400-DEETHANIZER-500</x:v>
      </x:c>
      <x:c r="G885" t="str">
        <x:v>FV-502</x:v>
      </x:c>
      <x:c r="H885" t="str">
        <x:v>reflux flow control valve</x:v>
      </x:c>
      <x:c r="I885" t="str">
        <x:v>control_valve</x:v>
      </x:c>
      <x:c r="J885" t="str">
        <x:v>P2</x:v>
      </x:c>
      <x:c r="K885" t="str">
        <x:v>COMP</x:v>
      </x:c>
      <x:c r="L885" t="str">
        <x:v>E&amp;I</x:v>
      </x:c>
      <x:c r="M885" t="str">
        <x:v>reflux_pump_degradation</x:v>
      </x:c>
      <x:c r="N885" t="str">
        <x:v>not stroking</x:v>
      </x:c>
      <x:c r="O885" t="str">
        <x:v>NO_TRAVEL</x:v>
      </x:c>
      <x:c r="P885" t="str">
        <x:v>ACT</x:v>
      </x:c>
      <x:c r="Q885" t="str">
        <x:v>Y</x:v>
      </x:c>
      <x:c r="R885" t="str">
        <x:v>14.2</x:v>
      </x:c>
      <x:c r="S885" t="str">
        <x:v>2567.33</x:v>
      </x:c>
      <x:c r="T885" t="str">
        <x:v>FV-502 pump vib, not stroking</x:v>
      </x:c>
      <x:c r="U885" t="str">
        <x:v>B shift called for FV-502 reflux flow control valve, low reflux seen during reflux pump degradation. Foud not stroking; actuator weak. Tag plate dirty, confirmd by line up with panel. tightened fittings, leak test ok. no leak at handover. notif made by ops, maint attended same shift.</x:v>
      </x:c>
    </x:row>
    <x:row r="886" ht="15" hidden="0" customHeight="1">
      <x:c r="A886" t="str">
        <x:v>10450885</x:v>
      </x:c>
      <x:c r="B886" t="str">
        <x:v>40870885</x:v>
      </x:c>
      <x:c r="C886" t="str">
        <x:v>2024-12-17</x:v>
      </x:c>
      <x:c r="D886" t="str">
        <x:v>2024-12-17</x:v>
      </x:c>
      <x:c r="E886" t="str">
        <x:v>2024-12-18</x:v>
      </x:c>
      <x:c r="F886" t="str">
        <x:v>U400-DEETHANIZER-500</x:v>
      </x:c>
      <x:c r="G886" t="str">
        <x:v>E-501</x:v>
      </x:c>
      <x:c r="H886" t="str">
        <x:v>deethanizer reboiler</x:v>
      </x:c>
      <x:c r="I886" t="str">
        <x:v>reboiler</x:v>
      </x:c>
      <x:c r="J886" t="str">
        <x:v>P3</x:v>
      </x:c>
      <x:c r="K886" t="str">
        <x:v>COMP</x:v>
      </x:c>
      <x:c r="L886" t="str">
        <x:v>ANLYZR</x:v>
      </x:c>
      <x:c r="M886" t="str">
        <x:v>reboiler_duty_loss</x:v>
      </x:c>
      <x:c r="N886" t="str">
        <x:v>low duty</x:v>
      </x:c>
      <x:c r="O886" t="str">
        <x:v>DUTY_LOSS</x:v>
      </x:c>
      <x:c r="P886" t="str">
        <x:v>UTILITY</x:v>
      </x:c>
      <x:c r="Q886" t="str">
        <x:v>N</x:v>
      </x:c>
      <x:c r="R886" t="str">
        <x:v>13.0</x:v>
      </x:c>
      <x:c r="S886" t="str">
        <x:v>4646.01</x:v>
      </x:c>
      <x:c r="T886" t="str">
        <x:v>E-501 low duty again, prod upset</x:v>
      </x:c>
      <x:c r="U886" t="str">
        <x:v>C shift called for E-501 deethanizer rebiler, c2 in btm seen during rebiler duty loss. Foud low duty; hm valve/strainer issue. Could not get permit first time waiting area gas test. replaced positioner tubing and retuned small. ops says ok for now. notif made by ops, maint attended same shift.</x:v>
      </x:c>
    </x:row>
    <x:row r="887" ht="15" hidden="0" customHeight="1">
      <x:c r="A887" t="str">
        <x:v>10450886</x:v>
      </x:c>
      <x:c r="B887" t="str">
        <x:v>40870886</x:v>
      </x:c>
      <x:c r="C887" t="str">
        <x:v>2024-12-15</x:v>
      </x:c>
      <x:c r="D887" t="str">
        <x:v>2024-12-16</x:v>
      </x:c>
      <x:c r="E887" t="str">
        <x:v>2024-12-16</x:v>
      </x:c>
      <x:c r="F887" t="str">
        <x:v>U400-DEETHANIZER-500</x:v>
      </x:c>
      <x:c r="G887" t="str">
        <x:v>PSV-501A</x:v>
      </x:c>
      <x:c r="H887" t="str">
        <x:v>column relief valve A</x:v>
      </x:c>
      <x:c r="I887" t="str">
        <x:v>relief</x:v>
      </x:c>
      <x:c r="J887" t="str">
        <x:v>P3</x:v>
      </x:c>
      <x:c r="K887" t="str">
        <x:v>CLSD</x:v>
      </x:c>
      <x:c r="L887" t="str">
        <x:v>VALVE</x:v>
      </x:c>
      <x:c r="M887" t="str">
        <x:v>pressure_control_fault</x:v>
      </x:c>
      <x:c r="N887" t="str">
        <x:v>car seal broken</x:v>
      </x:c>
      <x:c r="O887" t="str">
        <x:v>CSO</x:v>
      </x:c>
      <x:c r="P887" t="str">
        <x:v>HUMAN</x:v>
      </x:c>
      <x:c r="Q887" t="str">
        <x:v>N</x:v>
      </x:c>
      <x:c r="R887" t="str">
        <x:v>1.8</x:v>
      </x:c>
      <x:c r="S887" t="str">
        <x:v>2096.64</x:v>
      </x:c>
      <x:c r="T887" t="str">
        <x:v>PSV-501A press spike, car seal broken</x:v>
      </x:c>
      <x:c r="U887" t="str">
        <x:v>C shift called for PSV-501A column relief valve A, pic unstable seen during pressure control fault. Foud car seal broken; seal missing found. stroke tested, response better. no leak at handover. notif made by ops, maint attended same shift.</x:v>
      </x:c>
    </x:row>
    <x:row r="888" ht="15" hidden="0" customHeight="1">
      <x:c r="A888" t="str">
        <x:v>10450887</x:v>
      </x:c>
      <x:c r="B888" t="str">
        <x:v>40870887</x:v>
      </x:c>
      <x:c r="C888" t="str">
        <x:v>2024-12-18</x:v>
      </x:c>
      <x:c r="D888" t="str">
        <x:v>2024-12-18</x:v>
      </x:c>
      <x:c r="E888" t="str">
        <x:v>2024-12-18</x:v>
      </x:c>
      <x:c r="F888" t="str">
        <x:v>U400-DEETHANIZER-500</x:v>
      </x:c>
      <x:c r="G888" t="str">
        <x:v>PV-501</x:v>
      </x:c>
      <x:c r="H888" t="str">
        <x:v>column pressure control valve</x:v>
      </x:c>
      <x:c r="I888" t="str">
        <x:v>control_valve</x:v>
      </x:c>
      <x:c r="J888" t="str">
        <x:v>P4</x:v>
      </x:c>
      <x:c r="K888" t="str">
        <x:v>CLSD</x:v>
      </x:c>
      <x:c r="L888" t="str">
        <x:v>ANLYZR</x:v>
      </x:c>
      <x:c r="M888" t="str">
        <x:v>valve_stiction</x:v>
      </x:c>
      <x:c r="N888" t="str">
        <x:v>passing</x:v>
      </x:c>
      <x:c r="O888" t="str">
        <x:v>LEAK_BY</x:v>
      </x:c>
      <x:c r="P888" t="str">
        <x:v>SEAT</x:v>
      </x:c>
      <x:c r="Q888" t="str">
        <x:v>N</x:v>
      </x:c>
      <x:c r="R888" t="str">
        <x:v>9.2</x:v>
      </x:c>
      <x:c r="S888" t="str">
        <x:v>3125.72</x:v>
      </x:c>
      <x:c r="T888" t="str">
        <x:v>chk PV-501 - passing frm ops</x:v>
      </x:c>
      <x:c r="U888" t="str">
        <x:v>days called for PV-501 column pressure ctrl valve, position bad seen during valve stiction. Foud passing; seat leak by. opened strainer, cleaned black sludge. no leak at handover. notif made by ops, maint attended same shift.</x:v>
      </x:c>
    </x:row>
    <x:row r="889" ht="15" hidden="0" customHeight="1">
      <x:c r="A889" t="str">
        <x:v>10450888</x:v>
      </x:c>
      <x:c r="B889" t="str">
        <x:v>40870888</x:v>
      </x:c>
      <x:c r="C889" t="str">
        <x:v>2024-12-21</x:v>
      </x:c>
      <x:c r="D889" t="str">
        <x:v>2024-12-21</x:v>
      </x:c>
      <x:c r="E889" t="str">
        <x:v>2024-12-23</x:v>
      </x:c>
      <x:c r="F889" t="str">
        <x:v>U400-DEETHANIZER-500</x:v>
      </x:c>
      <x:c r="G889" t="str">
        <x:v>FV-501</x:v>
      </x:c>
      <x:c r="H889" t="str">
        <x:v>feed flow control valve</x:v>
      </x:c>
      <x:c r="I889" t="str">
        <x:v>control_valve</x:v>
      </x:c>
      <x:c r="J889" t="str">
        <x:v>P4</x:v>
      </x:c>
      <x:c r="K889" t="str">
        <x:v>CLSD</x:v>
      </x:c>
      <x:c r="L889" t="str">
        <x:v>ANLYZR</x:v>
      </x:c>
      <x:c r="M889" t="str">
        <x:v>feed_flow_step</x:v>
      </x:c>
      <x:c r="N889" t="str">
        <x:v>not stroking</x:v>
      </x:c>
      <x:c r="O889" t="str">
        <x:v>NO_TRAVEL</x:v>
      </x:c>
      <x:c r="P889" t="str">
        <x:v>ACT</x:v>
      </x:c>
      <x:c r="Q889" t="str">
        <x:v>N</x:v>
      </x:c>
      <x:c r="R889" t="str">
        <x:v>1.5</x:v>
      </x:c>
      <x:c r="S889" t="str">
        <x:v>750.02</x:v>
      </x:c>
      <x:c r="T889" t="str">
        <x:v>FV-501 not ok after feed flow step</x:v>
      </x:c>
      <x:c r="U889" t="str">
        <x:v>A shift called for FV-501 feed flow ctrl valve, colmn dp high seen during feed flow step. Foud not stroking; actuator weak. Tag plate dirty, confirmd by line up with panel. changed gasket and boxed up. temp repair only, plan shutdown job. notif made by ops, maint attended same shift.</x:v>
      </x:c>
    </x:row>
    <x:row r="890" ht="15" hidden="0" customHeight="1">
      <x:c r="A890" t="str">
        <x:v>10450889</x:v>
      </x:c>
      <x:c r="B890" t="str">
        <x:v>40870889</x:v>
      </x:c>
      <x:c r="C890" t="str">
        <x:v>2024-12-20</x:v>
      </x:c>
      <x:c r="D890" t="str">
        <x:v>2024-12-22</x:v>
      </x:c>
      <x:c r="E890" t="str">
        <x:v>2024-12-23</x:v>
      </x:c>
      <x:c r="F890" t="str">
        <x:v>U400-DEETHANIZER-500</x:v>
      </x:c>
      <x:c r="G890" t="str">
        <x:v>PSV-501A</x:v>
      </x:c>
      <x:c r="H890" t="str">
        <x:v>column relief valve A</x:v>
      </x:c>
      <x:c r="I890" t="str">
        <x:v>relief</x:v>
      </x:c>
      <x:c r="J890" t="str">
        <x:v>P2</x:v>
      </x:c>
      <x:c r="K890" t="str">
        <x:v>TECO</x:v>
      </x:c>
      <x:c r="L890" t="str">
        <x:v>OPS+INST</x:v>
      </x:c>
      <x:c r="M890" t="str">
        <x:v>pressure_control_fault</x:v>
      </x:c>
      <x:c r="N890" t="str">
        <x:v>car seal broken</x:v>
      </x:c>
      <x:c r="O890" t="str">
        <x:v>CSO</x:v>
      </x:c>
      <x:c r="P890" t="str">
        <x:v>HUMAN</x:v>
      </x:c>
      <x:c r="Q890" t="str">
        <x:v>N</x:v>
      </x:c>
      <x:c r="R890" t="str">
        <x:v>11.5</x:v>
      </x:c>
      <x:c r="S890" t="str">
        <x:v>3427.14</x:v>
      </x:c>
      <x:c r="T890" t="str">
        <x:v>PSV-501A car seal broken again, prod upset</x:v>
      </x:c>
      <x:c r="U890" t="str">
        <x:v>night called for PSV-501A column relief valve A, pv not movng seen during pressure control fault. Foud car seal broken; seal missing found. No spare in store at first, used refurb one from shop. calibrated, loop checked with CCR. readng close to dcs after job. notif made by ops, maint attended same shift.</x:v>
      </x:c>
    </x:row>
    <x:row r="891" ht="15" hidden="0" customHeight="1">
      <x:c r="A891" t="str">
        <x:v>10450890</x:v>
      </x:c>
      <x:c r="B891" t="str">
        <x:v>40870890</x:v>
      </x:c>
      <x:c r="C891" t="str">
        <x:v>2024-12-19</x:v>
      </x:c>
      <x:c r="D891" t="str">
        <x:v>2024-12-20</x:v>
      </x:c>
      <x:c r="E891" t="str">
        <x:v>2024-12-20</x:v>
      </x:c>
      <x:c r="F891" t="str">
        <x:v>U400-DEETHANIZER-500</x:v>
      </x:c>
      <x:c r="G891" t="str">
        <x:v>P-501A</x:v>
      </x:c>
      <x:c r="H891" t="str">
        <x:v>reflux pump A</x:v>
      </x:c>
      <x:c r="I891" t="str">
        <x:v>pump</x:v>
      </x:c>
      <x:c r="J891" t="str">
        <x:v>P3</x:v>
      </x:c>
      <x:c r="K891" t="str">
        <x:v>CLSD</x:v>
      </x:c>
      <x:c r="L891" t="str">
        <x:v>INST</x:v>
      </x:c>
      <x:c r="M891" t="str">
        <x:v>reflux_pump_degradation</x:v>
      </x:c>
      <x:c r="N891" t="str">
        <x:v>bearing hot</x:v>
      </x:c>
      <x:c r="O891" t="str">
        <x:v>BRG</x:v>
      </x:c>
      <x:c r="P891" t="str">
        <x:v>WEAR</x:v>
      </x:c>
      <x:c r="Q891" t="str">
        <x:v>N</x:v>
      </x:c>
      <x:c r="R891" t="str">
        <x:v>10.0</x:v>
      </x:c>
      <x:c r="S891" t="str">
        <x:v>10902.8</x:v>
      </x:c>
      <x:c r="T891" t="str">
        <x:v>P-501A bearing hot bad</x:v>
      </x:c>
      <x:c r="U891" t="str">
        <x:v>night called for P-501A reflux pump A, min flow hot seen during reflux pump degradation. Foud bearing hot; brg rough, lube dark. reset trip and monitored for 2 hrs. readng close to dcs after job. notif made by ops, maint attended same shift.</x:v>
      </x:c>
    </x:row>
    <x:row r="892" ht="15" hidden="0" customHeight="1">
      <x:c r="A892" t="str">
        <x:v>10450891</x:v>
      </x:c>
      <x:c r="B892" t="str">
        <x:v>40870891</x:v>
      </x:c>
      <x:c r="C892" t="str">
        <x:v>2024-12-23</x:v>
      </x:c>
      <x:c r="D892" t="str">
        <x:v>2024-12-24</x:v>
      </x:c>
      <x:c r="E892" t="str">
        <x:v>2024-12-25</x:v>
      </x:c>
      <x:c r="F892" t="str">
        <x:v>U400-DEETHANIZER-500</x:v>
      </x:c>
      <x:c r="G892" t="str">
        <x:v>TV-502</x:v>
      </x:c>
      <x:c r="H892" t="str">
        <x:v>condenser cooling valve</x:v>
      </x:c>
      <x:c r="I892" t="str">
        <x:v>control_valve</x:v>
      </x:c>
      <x:c r="J892" t="str">
        <x:v>P2</x:v>
      </x:c>
      <x:c r="K892" t="str">
        <x:v>CLSD</x:v>
      </x:c>
      <x:c r="L892" t="str">
        <x:v>E&amp;I</x:v>
      </x:c>
      <x:c r="M892" t="str">
        <x:v>feed_composition_shift</x:v>
      </x:c>
      <x:c r="N892" t="str">
        <x:v>air leak</x:v>
      </x:c>
      <x:c r="O892" t="str">
        <x:v>AIR_LEAK</x:v>
      </x:c>
      <x:c r="P892" t="str">
        <x:v>TUBING</x:v>
      </x:c>
      <x:c r="Q892" t="str">
        <x:v>N</x:v>
      </x:c>
      <x:c r="R892" t="str">
        <x:v>13.4</x:v>
      </x:c>
      <x:c r="S892" t="str">
        <x:v>2651.4</x:v>
      </x:c>
      <x:c r="T892" t="str">
        <x:v>TV-502 quality bad, air leak</x:v>
      </x:c>
      <x:c r="U892" t="str">
        <x:v>A shift called for TV-502 condenser cooling valve, quality bad seen during feed composition shift. Foud air leak; positioner supply drop. Tag plate dirty, confirmd by line up with panel. swapped to standby and repaired. no leak at handover. notif made by ops, maint attended same shift.</x:v>
      </x:c>
    </x:row>
    <x:row r="893" ht="15" hidden="0" customHeight="1">
      <x:c r="A893" t="str">
        <x:v>10450892</x:v>
      </x:c>
      <x:c r="B893" t="str">
        <x:v>40870892</x:v>
      </x:c>
      <x:c r="C893" t="str">
        <x:v>2024-12-24</x:v>
      </x:c>
      <x:c r="D893" t="str">
        <x:v>2024-12-24</x:v>
      </x:c>
      <x:c r="E893" t="str">
        <x:v>2024-12-25</x:v>
      </x:c>
      <x:c r="F893" t="str">
        <x:v>U400-DEETHANIZER-500</x:v>
      </x:c>
      <x:c r="G893" t="str">
        <x:v>PSV-501A</x:v>
      </x:c>
      <x:c r="H893" t="str">
        <x:v>column relief valve A</x:v>
      </x:c>
      <x:c r="I893" t="str">
        <x:v>relief</x:v>
      </x:c>
      <x:c r="J893" t="str">
        <x:v>P4</x:v>
      </x:c>
      <x:c r="K893" t="str">
        <x:v>COMP</x:v>
      </x:c>
      <x:c r="L893" t="str">
        <x:v>OPS+MECH</x:v>
      </x:c>
      <x:c r="M893" t="str">
        <x:v>pressure_control_fault</x:v>
      </x:c>
      <x:c r="N893" t="str">
        <x:v>car seal broken</x:v>
      </x:c>
      <x:c r="O893" t="str">
        <x:v>CSO</x:v>
      </x:c>
      <x:c r="P893" t="str">
        <x:v>HUMAN</x:v>
      </x:c>
      <x:c r="Q893" t="str">
        <x:v>N</x:v>
      </x:c>
      <x:c r="R893" t="str">
        <x:v>13.3</x:v>
      </x:c>
      <x:c r="S893" t="str">
        <x:v>6.68</x:v>
      </x:c>
      <x:c r="T893" t="str">
        <x:v>chk PSV-501A - car seal broken frm ops</x:v>
      </x:c>
      <x:c r="U893" t="str">
        <x:v>B shift called for PSV-501A column relief valve A, pic unstable seen during press control fault. Foud car seal broken; seal missing found. Could not get permit first time waiting area gas test. flushed impulse/sample line. need watch next feed swing. notif made by ops, maint attended same shift.</x:v>
      </x:c>
    </x:row>
    <x:row r="894" ht="15" hidden="0" customHeight="1">
      <x:c r="A894" t="str">
        <x:v>10450893</x:v>
      </x:c>
      <x:c r="B894" t="str">
        <x:v>40870893</x:v>
      </x:c>
      <x:c r="C894" t="str">
        <x:v>2024-12-24</x:v>
      </x:c>
      <x:c r="D894" t="str">
        <x:v>2024-12-24</x:v>
      </x:c>
      <x:c r="E894" t="str">
        <x:v>2024-12-26</x:v>
      </x:c>
      <x:c r="F894" t="str">
        <x:v>U400-DEETHANIZER-500</x:v>
      </x:c>
      <x:c r="G894" t="str">
        <x:v>P-502A</x:v>
      </x:c>
      <x:c r="H894" t="str">
        <x:v>bottoms pump A</x:v>
      </x:c>
      <x:c r="I894" t="str">
        <x:v>pump</x:v>
      </x:c>
      <x:c r="J894" t="str">
        <x:v>P3</x:v>
      </x:c>
      <x:c r="K894" t="str">
        <x:v>TECO</x:v>
      </x:c>
      <x:c r="L894" t="str">
        <x:v>MECH</x:v>
      </x:c>
      <x:c r="M894" t="str">
        <x:v>reboiler_duty_loss</x:v>
      </x:c>
      <x:c r="N894" t="str">
        <x:v>low disch press</x:v>
      </x:c>
      <x:c r="O894" t="str">
        <x:v>HYD_LOSS</x:v>
      </x:c>
      <x:c r="P894" t="str">
        <x:v>FOUL</x:v>
      </x:c>
      <x:c r="Q894" t="str">
        <x:v>N</x:v>
      </x:c>
      <x:c r="R894" t="str">
        <x:v>17.7</x:v>
      </x:c>
      <x:c r="S894" t="str">
        <x:v>975.17</x:v>
      </x:c>
      <x:c r="T894" t="str">
        <x:v>chk P-502A - low disch press frm ops</x:v>
      </x:c>
      <x:c r="U894" t="str">
        <x:v>night called for P-502A bottoms pump A, steam/hm vavle no resp seen during reboiler duty loss. Foud low disch press; strainer dirty or impeller wear. Could not get permit first time waiting area gas test. tightened fittings, leak test ok. need watch next feed swing. notif made by ops, maint attended same shift.</x:v>
      </x:c>
    </x:row>
    <x:row r="895" ht="15" hidden="0" customHeight="1">
      <x:c r="A895" t="str">
        <x:v>10450894</x:v>
      </x:c>
      <x:c r="B895" t="str">
        <x:v>40870894</x:v>
      </x:c>
      <x:c r="C895" t="str">
        <x:v>2024-12-27</x:v>
      </x:c>
      <x:c r="D895" t="str">
        <x:v>2024-12-28</x:v>
      </x:c>
      <x:c r="E895" t="str">
        <x:v>2024-12-30</x:v>
      </x:c>
      <x:c r="F895" t="str">
        <x:v>U400-DEETHANIZER-500</x:v>
      </x:c>
      <x:c r="G895" t="str">
        <x:v>FT-501</x:v>
      </x:c>
      <x:c r="H895" t="str">
        <x:v>feed flow transmitter</x:v>
      </x:c>
      <x:c r="I895" t="str">
        <x:v>instrument</x:v>
      </x:c>
      <x:c r="J895" t="str">
        <x:v>P3</x:v>
      </x:c>
      <x:c r="K895" t="str">
        <x:v>CLSD</x:v>
      </x:c>
      <x:c r="L895" t="str">
        <x:v>E&amp;I</x:v>
      </x:c>
      <x:c r="M895" t="str">
        <x:v>feed_flow_step</x:v>
      </x:c>
      <x:c r="N895" t="str">
        <x:v>bad reading</x:v>
      </x:c>
      <x:c r="O895" t="str">
        <x:v>DRIFT</x:v>
      </x:c>
      <x:c r="P895" t="str">
        <x:v>CAL</x:v>
      </x:c>
      <x:c r="Q895" t="str">
        <x:v>N</x:v>
      </x:c>
      <x:c r="R895" t="str">
        <x:v>5.6</x:v>
      </x:c>
      <x:c r="S895" t="str">
        <x:v>6234.21</x:v>
      </x:c>
      <x:c r="T895" t="str">
        <x:v>FT-501 bad reading again</x:v>
      </x:c>
      <x:c r="U895" t="str">
        <x:v>night called for FT-501 feed flow transmitter, c2 recov down seen during feed flow step. Foud bad reading; needs calib. swapped to standby and repaired. unit stable now. notif made by ops, maint attended same shift.</x:v>
      </x:c>
    </x:row>
    <x:row r="896" ht="15" hidden="0" customHeight="1">
      <x:c r="A896" t="str">
        <x:v>10450895</x:v>
      </x:c>
      <x:c r="B896" t="str">
        <x:v>40870895</x:v>
      </x:c>
      <x:c r="C896" t="str">
        <x:v>2024-12-29</x:v>
      </x:c>
      <x:c r="D896" t="str">
        <x:v>2024-12-30</x:v>
      </x:c>
      <x:c r="E896" t="str">
        <x:v>2025-01-06</x:v>
      </x:c>
      <x:c r="F896" t="str">
        <x:v>U400-DEETHANIZER-500</x:v>
      </x:c>
      <x:c r="G896" t="str">
        <x:v>FT-502</x:v>
      </x:c>
      <x:c r="H896" t="str">
        <x:v>reflux flow transmitter</x:v>
      </x:c>
      <x:c r="I896" t="str">
        <x:v>instrument</x:v>
      </x:c>
      <x:c r="J896" t="str">
        <x:v>P3</x:v>
      </x:c>
      <x:c r="K896" t="str">
        <x:v>COMP</x:v>
      </x:c>
      <x:c r="L896" t="str">
        <x:v>OPS+INST</x:v>
      </x:c>
      <x:c r="M896" t="str">
        <x:v>reflux_pump_degradation</x:v>
      </x:c>
      <x:c r="N896" t="str">
        <x:v>range err</x:v>
      </x:c>
      <x:c r="O896" t="str">
        <x:v>SPAN</x:v>
      </x:c>
      <x:c r="P896" t="str">
        <x:v>CAL</x:v>
      </x:c>
      <x:c r="Q896" t="str">
        <x:v>N</x:v>
      </x:c>
      <x:c r="R896" t="str">
        <x:v>3.2</x:v>
      </x:c>
      <x:c r="S896" t="str">
        <x:v>296.37</x:v>
      </x:c>
      <x:c r="T896" t="str">
        <x:v>FT-502 disch press low, range err</x:v>
      </x:c>
      <x:c r="U896" t="str">
        <x:v>night called for FT-502 reflux flow transmitter, min flow hot seen during reflux pump degradation. Foud range err; span shifted. replaced positioner tubing and retuned small. readng close to dcs after job. notif made by ops, maint attended same shift.</x:v>
      </x:c>
    </x:row>
    <x:row r="897" ht="15" hidden="0" customHeight="1">
      <x:c r="A897" t="str">
        <x:v>10450896</x:v>
      </x:c>
      <x:c r="B897" t="str">
        <x:v>40870896</x:v>
      </x:c>
      <x:c r="C897" t="str">
        <x:v>2025-01-01</x:v>
      </x:c>
      <x:c r="D897" t="str">
        <x:v>2025-01-01</x:v>
      </x:c>
      <x:c r="E897" t="str">
        <x:v>2025-01-04</x:v>
      </x:c>
      <x:c r="F897" t="str">
        <x:v>U400-DEETHANIZER-500</x:v>
      </x:c>
      <x:c r="G897" t="str">
        <x:v>E-501</x:v>
      </x:c>
      <x:c r="H897" t="str">
        <x:v>deethanizer reboiler</x:v>
      </x:c>
      <x:c r="I897" t="str">
        <x:v>reboiler</x:v>
      </x:c>
      <x:c r="J897" t="str">
        <x:v>P4</x:v>
      </x:c>
      <x:c r="K897" t="str">
        <x:v>CLSD</x:v>
      </x:c>
      <x:c r="L897" t="str">
        <x:v>ROT</x:v>
      </x:c>
      <x:c r="M897" t="str">
        <x:v>feed_temperature_ramp</x:v>
      </x:c>
      <x:c r="N897" t="str">
        <x:v>circ poor</x:v>
      </x:c>
      <x:c r="O897" t="str">
        <x:v>NO_FLOW</x:v>
      </x:c>
      <x:c r="P897" t="str">
        <x:v>PLUG</x:v>
      </x:c>
      <x:c r="Q897" t="str">
        <x:v>N</x:v>
      </x:c>
      <x:c r="R897" t="str">
        <x:v>3.4</x:v>
      </x:c>
      <x:c r="S897" t="str">
        <x:v>2346.45</x:v>
      </x:c>
      <x:c r="T897" t="str">
        <x:v>E-501 circ poor again, prod upset</x:v>
      </x:c>
      <x:c r="U897" t="str">
        <x:v>B shift called for E-501 deethanizer reboiler, feed temp high seen during feed temperature ramp. Foud circ poor; blocked inlet screen. Line was hot so job done slow and with ops standing by. reset trip and monitored for 2 hrs. ops says ok for now. notif made by ops, maint attended same shift.</x:v>
      </x:c>
    </x:row>
    <x:row r="898" ht="15" hidden="0" customHeight="1">
      <x:c r="A898" t="str">
        <x:v>10450897</x:v>
      </x:c>
      <x:c r="B898" t="str">
        <x:v>40870897</x:v>
      </x:c>
      <x:c r="C898" t="str">
        <x:v>2025-01-04</x:v>
      </x:c>
      <x:c r="D898" t="str">
        <x:v>2025-01-04</x:v>
      </x:c>
      <x:c r="E898" t="str">
        <x:v>2025-01-05</x:v>
      </x:c>
      <x:c r="F898" t="str">
        <x:v>U400-DEETHANIZER-500</x:v>
      </x:c>
      <x:c r="G898" t="str">
        <x:v>E-503</x:v>
      </x:c>
      <x:c r="H898" t="str">
        <x:v>feed bottoms exchanger</x:v>
      </x:c>
      <x:c r="I898" t="str">
        <x:v>exchanger</x:v>
      </x:c>
      <x:c r="J898" t="str">
        <x:v>P1</x:v>
      </x:c>
      <x:c r="K898" t="str">
        <x:v>COMP</x:v>
      </x:c>
      <x:c r="L898" t="str">
        <x:v>MECH</x:v>
      </x:c>
      <x:c r="M898" t="str">
        <x:v>feed_composition_shift</x:v>
      </x:c>
      <x:c r="N898" t="str">
        <x:v>plugged pass</x:v>
      </x:c>
      <x:c r="O898" t="str">
        <x:v>PLUG</x:v>
      </x:c>
      <x:c r="P898" t="str">
        <x:v>FOUL</x:v>
      </x:c>
      <x:c r="Q898" t="str">
        <x:v>N</x:v>
      </x:c>
      <x:c r="R898" t="str">
        <x:v>3.7</x:v>
      </x:c>
      <x:c r="S898" t="str">
        <x:v>1848.86</x:v>
      </x:c>
      <x:c r="T898" t="str">
        <x:v>E-503 plugged pass again, prod upset</x:v>
      </x:c>
      <x:c r="U898" t="str">
        <x:v>B shift called for E-503 feed bottoms exchanger, quality bad seen during feed composition shift. Foud plugged pass; flow restricted. History shows same complain last mnth. opened strainer, cleaned black sludge. need watch next feed swing. notif made by ops, maint attended same shift.</x:v>
      </x:c>
    </x:row>
    <x:row r="899" ht="15" hidden="0" customHeight="1">
      <x:c r="A899" t="str">
        <x:v>10450898</x:v>
      </x:c>
      <x:c r="B899" t="str">
        <x:v>40870898</x:v>
      </x:c>
      <x:c r="C899" t="str">
        <x:v>2025-01-01</x:v>
      </x:c>
      <x:c r="D899" t="str">
        <x:v>2025-01-01</x:v>
      </x:c>
      <x:c r="E899" t="str">
        <x:v>2025-01-02</x:v>
      </x:c>
      <x:c r="F899" t="str">
        <x:v>U400-DEETHANIZER-500</x:v>
      </x:c>
      <x:c r="G899" t="str">
        <x:v>P-502A</x:v>
      </x:c>
      <x:c r="H899" t="str">
        <x:v>bottoms pump A</x:v>
      </x:c>
      <x:c r="I899" t="str">
        <x:v>pump</x:v>
      </x:c>
      <x:c r="J899" t="str">
        <x:v>P1</x:v>
      </x:c>
      <x:c r="K899" t="str">
        <x:v>COMP</x:v>
      </x:c>
      <x:c r="L899" t="str">
        <x:v>INST</x:v>
      </x:c>
      <x:c r="M899" t="str">
        <x:v>reboiler_duty_loss</x:v>
      </x:c>
      <x:c r="N899" t="str">
        <x:v>bearing hot</x:v>
      </x:c>
      <x:c r="O899" t="str">
        <x:v>BRG</x:v>
      </x:c>
      <x:c r="P899" t="str">
        <x:v>WEAR</x:v>
      </x:c>
      <x:c r="Q899" t="str">
        <x:v>N</x:v>
      </x:c>
      <x:c r="R899" t="str">
        <x:v>4.8</x:v>
      </x:c>
      <x:c r="S899" t="str">
        <x:v>16266.9</x:v>
      </x:c>
      <x:c r="T899" t="str">
        <x:v>P-502A bearing hot again, prod upset</x:v>
      </x:c>
      <x:c r="U899" t="str">
        <x:v>A shift called for P-502A bottoms pump A, tray temp low seen during reboiler duty loss. Foud bearing hot; brg rough, lube dark. changed gasket and boxed up. readng close to dcs after job. notif made by ops, maint attended same shift.</x:v>
      </x:c>
    </x:row>
    <x:row r="900" ht="15" hidden="0" customHeight="1">
      <x:c r="A900" t="str">
        <x:v>10450899</x:v>
      </x:c>
      <x:c r="B900" t="str">
        <x:v>40870899</x:v>
      </x:c>
      <x:c r="C900" t="str">
        <x:v>2025-01-06</x:v>
      </x:c>
      <x:c r="D900" t="str">
        <x:v>2025-01-06</x:v>
      </x:c>
      <x:c r="E900" t="str">
        <x:v>2025-01-08</x:v>
      </x:c>
      <x:c r="F900" t="str">
        <x:v>U400-DEETHANIZER-500</x:v>
      </x:c>
      <x:c r="G900" t="str">
        <x:v>P-501A</x:v>
      </x:c>
      <x:c r="H900" t="str">
        <x:v>reflux pump A</x:v>
      </x:c>
      <x:c r="I900" t="str">
        <x:v>pump</x:v>
      </x:c>
      <x:c r="J900" t="str">
        <x:v>P2</x:v>
      </x:c>
      <x:c r="K900" t="str">
        <x:v>COMP</x:v>
      </x:c>
      <x:c r="L900" t="str">
        <x:v>OPS+MECH</x:v>
      </x:c>
      <x:c r="M900" t="str">
        <x:v>normal_wear</x:v>
      </x:c>
      <x:c r="N900" t="str">
        <x:v>bearing hot</x:v>
      </x:c>
      <x:c r="O900" t="str">
        <x:v>BRG</x:v>
      </x:c>
      <x:c r="P900" t="str">
        <x:v>WEAR</x:v>
      </x:c>
      <x:c r="Q900" t="str">
        <x:v>N</x:v>
      </x:c>
      <x:c r="R900" t="str">
        <x:v>13.0</x:v>
      </x:c>
      <x:c r="S900" t="str">
        <x:v>13015.42</x:v>
      </x:c>
      <x:c r="T900" t="str">
        <x:v>P-501A noise, bearing hot</x:v>
      </x:c>
      <x:c r="U900" t="str">
        <x:v>days called for P-501A reflux pump A, noise seen during normal wear. Foud bearing hot; brg rough, lube dark. No spare in store at first, used refurb one from shop. swapped to standby and repaired. no leak at handover. notif made by ops, maint attended same shift.</x:v>
      </x:c>
    </x:row>
    <x:row r="901" ht="15" hidden="0" customHeight="1">
      <x:c r="A901" t="str">
        <x:v>10450900</x:v>
      </x:c>
      <x:c r="B901" t="str">
        <x:v>40870900</x:v>
      </x:c>
      <x:c r="C901" t="str">
        <x:v>2025-01-07</x:v>
      </x:c>
      <x:c r="D901" t="str">
        <x:v>2025-01-09</x:v>
      </x:c>
      <x:c r="E901" t="str">
        <x:v>2025-01-14</x:v>
      </x:c>
      <x:c r="F901" t="str">
        <x:v>U400-DEETHANIZER-500</x:v>
      </x:c>
      <x:c r="G901" t="str">
        <x:v>PV-501</x:v>
      </x:c>
      <x:c r="H901" t="str">
        <x:v>column pressure control valve</x:v>
      </x:c>
      <x:c r="I901" t="str">
        <x:v>control_valve</x:v>
      </x:c>
      <x:c r="J901" t="str">
        <x:v>P3</x:v>
      </x:c>
      <x:c r="K901" t="str">
        <x:v>COMP</x:v>
      </x:c>
      <x:c r="L901" t="str">
        <x:v>VALVE</x:v>
      </x:c>
      <x:c r="M901" t="str">
        <x:v>condenser_fouling</x:v>
      </x:c>
      <x:c r="N901" t="str">
        <x:v>passing</x:v>
      </x:c>
      <x:c r="O901" t="str">
        <x:v>LEAK_BY</x:v>
      </x:c>
      <x:c r="P901" t="str">
        <x:v>SEAT</x:v>
      </x:c>
      <x:c r="Q901" t="str">
        <x:v>N</x:v>
      </x:c>
      <x:c r="R901" t="str">
        <x:v>11.2</x:v>
      </x:c>
      <x:c r="S901" t="str">
        <x:v>1956.81</x:v>
      </x:c>
      <x:c r="T901" t="str">
        <x:v>chk PV-501 - passing frm ops</x:v>
      </x:c>
      <x:c r="U901" t="str">
        <x:v>night called for PV-501 column pressure control valve, cw dt low seen during condenser fouling. Foud passing; seat leak by. Tag plate dirty, confirmd by line up with panel. changed gasket and boxed up. no leak at handover. notif made by ops, maint attended same shift.</x:v>
      </x:c>
    </x:row>
    <x:row r="902" ht="15" hidden="0" customHeight="1">
      <x:c r="A902" t="str">
        <x:v>10450901</x:v>
      </x:c>
      <x:c r="B902" t="str">
        <x:v>40870901</x:v>
      </x:c>
      <x:c r="C902" t="str">
        <x:v>2025-01-08</x:v>
      </x:c>
      <x:c r="D902" t="str">
        <x:v>2025-01-09</x:v>
      </x:c>
      <x:c r="E902" t="str">
        <x:v>2025-01-09</x:v>
      </x:c>
      <x:c r="F902" t="str">
        <x:v>U400-DEETHANIZER-500</x:v>
      </x:c>
      <x:c r="G902" t="str">
        <x:v>TT-501B</x:v>
      </x:c>
      <x:c r="H902" t="str">
        <x:v>sensitive tray temperature tx</x:v>
      </x:c>
      <x:c r="I902" t="str">
        <x:v>instrument</x:v>
      </x:c>
      <x:c r="J902" t="str">
        <x:v>P2</x:v>
      </x:c>
      <x:c r="K902" t="str">
        <x:v>TECO</x:v>
      </x:c>
      <x:c r="L902" t="str">
        <x:v>E&amp;I</x:v>
      </x:c>
      <x:c r="M902" t="str">
        <x:v>reboiler_duty_loss</x:v>
      </x:c>
      <x:c r="N902" t="str">
        <x:v>loose wire</x:v>
      </x:c>
      <x:c r="O902" t="str">
        <x:v>SIGNAL</x:v>
      </x:c>
      <x:c r="P902" t="str">
        <x:v>ELEC</x:v>
      </x:c>
      <x:c r="Q902" t="str">
        <x:v>N</x:v>
      </x:c>
      <x:c r="R902" t="str">
        <x:v>6.9</x:v>
      </x:c>
      <x:c r="S902" t="str">
        <x:v>3369.63</x:v>
      </x:c>
      <x:c r="T902" t="str">
        <x:v>TT-501B not ok after reboiler duty loss</x:v>
      </x:c>
      <x:c r="U902" t="str">
        <x:v>C shift called for TT-501B sensitive tray temperature tx, low heat seen during reboiler duty loss. Foud loose wire; term loose. opened strainer, cleaned black sludge. readng close to dcs after job. notif made by ops, maint attended same shift.</x:v>
      </x:c>
    </x:row>
    <x:row r="903" ht="15" hidden="0" customHeight="1">
      <x:c r="A903" t="str">
        <x:v>10450902</x:v>
      </x:c>
      <x:c r="B903" t="str">
        <x:v>40870902</x:v>
      </x:c>
      <x:c r="C903" t="str">
        <x:v>2025-01-09</x:v>
      </x:c>
      <x:c r="D903" t="str">
        <x:v>2025-01-10</x:v>
      </x:c>
      <x:c r="E903" t="str">
        <x:v>2025-01-17</x:v>
      </x:c>
      <x:c r="F903" t="str">
        <x:v>U400-DEETHANIZER-500</x:v>
      </x:c>
      <x:c r="G903" t="str">
        <x:v>FT-501</x:v>
      </x:c>
      <x:c r="H903" t="str">
        <x:v>feed flow transmitter</x:v>
      </x:c>
      <x:c r="I903" t="str">
        <x:v>instrument</x:v>
      </x:c>
      <x:c r="J903" t="str">
        <x:v>P4</x:v>
      </x:c>
      <x:c r="K903" t="str">
        <x:v>CLSD</x:v>
      </x:c>
      <x:c r="L903" t="str">
        <x:v>OPS+INST</x:v>
      </x:c>
      <x:c r="M903" t="str">
        <x:v>feed_flow_step</x:v>
      </x:c>
      <x:c r="N903" t="str">
        <x:v>impulse plugged</x:v>
      </x:c>
      <x:c r="O903" t="str">
        <x:v>PLUG</x:v>
      </x:c>
      <x:c r="P903" t="str">
        <x:v>PROCESS</x:v>
      </x:c>
      <x:c r="Q903" t="str">
        <x:v>N</x:v>
      </x:c>
      <x:c r="R903" t="str">
        <x:v>17.7</x:v>
      </x:c>
      <x:c r="S903" t="str">
        <x:v>4216.65</x:v>
      </x:c>
      <x:c r="T903" t="str">
        <x:v>FT-501 impulse plugged temp fix</x:v>
      </x:c>
      <x:c r="U903" t="str">
        <x:v>days called for FT-501 feed flow transmitter, fic hunting seen during feed flow step. Foud impulse plugged; tap/line dirty. History shows same complain last mnth. calibrated, loop checked with CCR. unit stable now. notif made by ops, maint attended same shift.</x:v>
      </x:c>
    </x:row>
    <x:row r="904" ht="15" hidden="0" customHeight="1">
      <x:c r="A904" t="str">
        <x:v>10450903</x:v>
      </x:c>
      <x:c r="B904" t="str">
        <x:v>40870903</x:v>
      </x:c>
      <x:c r="C904" t="str">
        <x:v>2025-01-08</x:v>
      </x:c>
      <x:c r="D904" t="str">
        <x:v>2025-01-10</x:v>
      </x:c>
      <x:c r="E904" t="str">
        <x:v>2025-01-11</x:v>
      </x:c>
      <x:c r="F904" t="str">
        <x:v>U400-DEETHANIZER-500</x:v>
      </x:c>
      <x:c r="G904" t="str">
        <x:v>TV-501</x:v>
      </x:c>
      <x:c r="H904" t="str">
        <x:v>reboiler hot medium valve</x:v>
      </x:c>
      <x:c r="I904" t="str">
        <x:v>control_valve</x:v>
      </x:c>
      <x:c r="J904" t="str">
        <x:v>P3</x:v>
      </x:c>
      <x:c r="K904" t="str">
        <x:v>COMP</x:v>
      </x:c>
      <x:c r="L904" t="str">
        <x:v>MECH</x:v>
      </x:c>
      <x:c r="M904" t="str">
        <x:v>feed_temperature_ramp</x:v>
      </x:c>
      <x:c r="N904" t="str">
        <x:v>air leak</x:v>
      </x:c>
      <x:c r="O904" t="str">
        <x:v>AIR_LEAK</x:v>
      </x:c>
      <x:c r="P904" t="str">
        <x:v>TUBING</x:v>
      </x:c>
      <x:c r="Q904" t="str">
        <x:v>N</x:v>
      </x:c>
      <x:c r="R904" t="str">
        <x:v>9.0</x:v>
      </x:c>
      <x:c r="S904" t="str">
        <x:v>5032.42</x:v>
      </x:c>
      <x:c r="T904" t="str">
        <x:v>TV-501 air leak temp fix</x:v>
      </x:c>
      <x:c r="U904" t="str">
        <x:v>C shift called for TV-501 reboiler hot medium valve, ovhd press moving seen during feed temperature ramp. Foud air leak; positioner supply drop. Line was hot so job done slow and with ops standing by. calibrated, loop checked with CCR. ops says ok for now. notif made by ops, maint attended same shift.</x:v>
      </x:c>
    </x:row>
    <x:row r="905" ht="15" hidden="0" customHeight="1">
      <x:c r="A905" t="str">
        <x:v>10450904</x:v>
      </x:c>
      <x:c r="B905" t="str">
        <x:v>40870904</x:v>
      </x:c>
      <x:c r="C905" t="str">
        <x:v>2025-01-09</x:v>
      </x:c>
      <x:c r="D905" t="str">
        <x:v>2025-01-09</x:v>
      </x:c>
      <x:c r="E905" t="str">
        <x:v>2025-01-09</x:v>
      </x:c>
      <x:c r="F905" t="str">
        <x:v>U400-DEETHANIZER-500</x:v>
      </x:c>
      <x:c r="G905" t="str">
        <x:v>FT-502</x:v>
      </x:c>
      <x:c r="H905" t="str">
        <x:v>reflux flow transmitter</x:v>
      </x:c>
      <x:c r="I905" t="str">
        <x:v>instrument</x:v>
      </x:c>
      <x:c r="J905" t="str">
        <x:v>P4</x:v>
      </x:c>
      <x:c r="K905" t="str">
        <x:v>COMP</x:v>
      </x:c>
      <x:c r="L905" t="str">
        <x:v>ANLYZR</x:v>
      </x:c>
      <x:c r="M905" t="str">
        <x:v>reflux_pump_degradation</x:v>
      </x:c>
      <x:c r="N905" t="str">
        <x:v>bad reading</x:v>
      </x:c>
      <x:c r="O905" t="str">
        <x:v>DRIFT</x:v>
      </x:c>
      <x:c r="P905" t="str">
        <x:v>CAL</x:v>
      </x:c>
      <x:c r="Q905" t="str">
        <x:v>N</x:v>
      </x:c>
      <x:c r="R905" t="str">
        <x:v>10.4</x:v>
      </x:c>
      <x:c r="S905" t="str">
        <x:v>5096.68</x:v>
      </x:c>
      <x:c r="T905" t="str">
        <x:v>chk FT-502 - bad reading frm ops</x:v>
      </x:c>
      <x:c r="U905" t="str">
        <x:v>B shift called for FT-502 rflx flow tx, seal weep seen during rflx pump degradation. Foud bad reading; needs calib. flushed impulse/sample line. unit stable now. notif made by ops, maint attended same shift.</x:v>
      </x:c>
    </x:row>
    <x:row r="906" ht="15" hidden="0" customHeight="1">
      <x:c r="A906" t="str">
        <x:v>10450905</x:v>
      </x:c>
      <x:c r="B906" t="str">
        <x:v>40870905</x:v>
      </x:c>
      <x:c r="C906" t="str">
        <x:v>2025-01-10</x:v>
      </x:c>
      <x:c r="D906" t="str">
        <x:v>2025-01-10</x:v>
      </x:c>
      <x:c r="E906" t="str">
        <x:v>2025-01-15</x:v>
      </x:c>
      <x:c r="F906" t="str">
        <x:v>U400-DEETHANIZER-500</x:v>
      </x:c>
      <x:c r="G906" t="str">
        <x:v>FV-501</x:v>
      </x:c>
      <x:c r="H906" t="str">
        <x:v>feed flow control valve</x:v>
      </x:c>
      <x:c r="I906" t="str">
        <x:v>control_valve</x:v>
      </x:c>
      <x:c r="J906" t="str">
        <x:v>P2</x:v>
      </x:c>
      <x:c r="K906" t="str">
        <x:v>TECO</x:v>
      </x:c>
      <x:c r="L906" t="str">
        <x:v>MECH</x:v>
      </x:c>
      <x:c r="M906" t="str">
        <x:v>valve_stiction</x:v>
      </x:c>
      <x:c r="N906" t="str">
        <x:v>air leak</x:v>
      </x:c>
      <x:c r="O906" t="str">
        <x:v>AIR_LEAK</x:v>
      </x:c>
      <x:c r="P906" t="str">
        <x:v>TUBING</x:v>
      </x:c>
      <x:c r="Q906" t="str">
        <x:v>N</x:v>
      </x:c>
      <x:c r="R906" t="str">
        <x:v>11.1</x:v>
      </x:c>
      <x:c r="S906" t="str">
        <x:v>6492.53</x:v>
      </x:c>
      <x:c r="T906" t="str">
        <x:v>chk FV-501 - air leak frm ops</x:v>
      </x:c>
      <x:c r="U906" t="str">
        <x:v>B shift called for FV-501 feed flow control valve, position bad seen during valve stiction. Foud air leak; positioner supply drop. Tag plate dirty, confirmd by line up with panel. stroke tested, response better. readng close to dcs after job. notif made by ops, maint attended same shift.</x:v>
      </x:c>
    </x:row>
    <x:row r="907" ht="15" hidden="0" customHeight="1">
      <x:c r="A907" t="str">
        <x:v>10450906</x:v>
      </x:c>
      <x:c r="B907" t="str">
        <x:v>40870906</x:v>
      </x:c>
      <x:c r="C907" t="str">
        <x:v>2025-01-12</x:v>
      </x:c>
      <x:c r="D907" t="str">
        <x:v>2025-01-12</x:v>
      </x:c>
      <x:c r="E907" t="str">
        <x:v>2025-01-12</x:v>
      </x:c>
      <x:c r="F907" t="str">
        <x:v>U400-DEETHANIZER-500</x:v>
      </x:c>
      <x:c r="G907" t="str">
        <x:v>E-503</x:v>
      </x:c>
      <x:c r="H907" t="str">
        <x:v>feed bottoms exchanger</x:v>
      </x:c>
      <x:c r="I907" t="str">
        <x:v>exchanger</x:v>
      </x:c>
      <x:c r="J907" t="str">
        <x:v>P3</x:v>
      </x:c>
      <x:c r="K907" t="str">
        <x:v>TECO</x:v>
      </x:c>
      <x:c r="L907" t="str">
        <x:v>VALVE</x:v>
      </x:c>
      <x:c r="M907" t="str">
        <x:v>feed_flow_step</x:v>
      </x:c>
      <x:c r="N907" t="str">
        <x:v>tube fouling</x:v>
      </x:c>
      <x:c r="O907" t="str">
        <x:v>FOULING</x:v>
      </x:c>
      <x:c r="P907" t="str">
        <x:v>PROCESS</x:v>
      </x:c>
      <x:c r="Q907" t="str">
        <x:v>N</x:v>
      </x:c>
      <x:c r="R907" t="str">
        <x:v>9.7</x:v>
      </x:c>
      <x:c r="S907" t="str">
        <x:v>134.38</x:v>
      </x:c>
      <x:c r="T907" t="str">
        <x:v>chk E-503 - tube fouling frm ops</x:v>
      </x:c>
      <x:c r="U907" t="str">
        <x:v>C shift called for E-503 feed bottoms exchanger, colmn dp high seen during feed flow step. Foud tube fouling; duty low, delta t poor. Could not get permit first time waiting area gas test. stroke tested, response better. ops says ok for now. notif made by ops, maint attended same shift.</x:v>
      </x:c>
    </x:row>
    <x:row r="908" ht="15" hidden="0" customHeight="1">
      <x:c r="A908" t="str">
        <x:v>10450907</x:v>
      </x:c>
      <x:c r="B908" t="str">
        <x:v>40870907</x:v>
      </x:c>
      <x:c r="C908" t="str">
        <x:v>2025-01-18</x:v>
      </x:c>
      <x:c r="D908" t="str">
        <x:v>2025-01-20</x:v>
      </x:c>
      <x:c r="E908" t="str">
        <x:v>2025-01-21</x:v>
      </x:c>
      <x:c r="F908" t="str">
        <x:v>U400-DEETHANIZER-500</x:v>
      </x:c>
      <x:c r="G908" t="str">
        <x:v>TV-501</x:v>
      </x:c>
      <x:c r="H908" t="str">
        <x:v>reboiler hot medium valve</x:v>
      </x:c>
      <x:c r="I908" t="str">
        <x:v>control_valve</x:v>
      </x:c>
      <x:c r="J908" t="str">
        <x:v>P3</x:v>
      </x:c>
      <x:c r="K908" t="str">
        <x:v>TECO</x:v>
      </x:c>
      <x:c r="L908" t="str">
        <x:v>E&amp;I</x:v>
      </x:c>
      <x:c r="M908" t="str">
        <x:v>valve_stiction</x:v>
      </x:c>
      <x:c r="N908" t="str">
        <x:v>stiction</x:v>
      </x:c>
      <x:c r="O908" t="str">
        <x:v>STICK</x:v>
      </x:c>
      <x:c r="P908" t="str">
        <x:v>PACKING</x:v>
      </x:c>
      <x:c r="Q908" t="str">
        <x:v>N</x:v>
      </x:c>
      <x:c r="R908" t="str">
        <x:v>1.5</x:v>
      </x:c>
      <x:c r="S908" t="str">
        <x:v>5421.15</x:v>
      </x:c>
      <x:c r="T908" t="str">
        <x:v>chk TV-501 - stiction frm ops</x:v>
      </x:c>
      <x:c r="U908" t="str">
        <x:v>C shift called for TV-501 reboiler hot medium vavle, vavle sticking seen during vavle stiction. Foud stiction; stem sticky and pos err. stroke tested, response better. still little hunting but acceptable. notif made by ops, maint attended same shift.</x:v>
      </x:c>
    </x:row>
    <x:row r="909" ht="15" hidden="0" customHeight="1">
      <x:c r="A909" t="str">
        <x:v>10450908</x:v>
      </x:c>
      <x:c r="B909" t="str">
        <x:v>40870908</x:v>
      </x:c>
      <x:c r="C909" t="str">
        <x:v>2025-01-20</x:v>
      </x:c>
      <x:c r="D909" t="str">
        <x:v>2025-01-20</x:v>
      </x:c>
      <x:c r="E909" t="str">
        <x:v>2025-01-22</x:v>
      </x:c>
      <x:c r="F909" t="str">
        <x:v>U400-DEETHANIZER-500</x:v>
      </x:c>
      <x:c r="G909" t="str">
        <x:v>PSV-501B</x:v>
      </x:c>
      <x:c r="H909" t="str">
        <x:v>column relief valve B</x:v>
      </x:c>
      <x:c r="I909" t="str">
        <x:v>relief</x:v>
      </x:c>
      <x:c r="J909" t="str">
        <x:v>P4</x:v>
      </x:c>
      <x:c r="K909" t="str">
        <x:v>TECO</x:v>
      </x:c>
      <x:c r="L909" t="str">
        <x:v>E&amp;I</x:v>
      </x:c>
      <x:c r="M909" t="str">
        <x:v>pressure_control_fault</x:v>
      </x:c>
      <x:c r="N909" t="str">
        <x:v>due to lift chk</x:v>
      </x:c>
      <x:c r="O909" t="str">
        <x:v>LIFT_EVENT</x:v>
      </x:c>
      <x:c r="P909" t="str">
        <x:v>PROCESS</x:v>
      </x:c>
      <x:c r="Q909" t="str">
        <x:v>N</x:v>
      </x:c>
      <x:c r="R909" t="str">
        <x:v>6.2</x:v>
      </x:c>
      <x:c r="S909" t="str">
        <x:v>3730.08</x:v>
      </x:c>
      <x:c r="T909" t="str">
        <x:v>PSV-501B not ok after pressure control fault</x:v>
      </x:c>
      <x:c r="U909" t="str">
        <x:v>B shift called for PSV-501B colmn relief valve B, pic unstable seen during pressure control fault. Foud due to lift chk; after pressure excursion. opened strainer, cleaned black sludge. ops says ok for now. notif made by ops, maint attended same shift.</x:v>
      </x:c>
    </x:row>
    <x:row r="910" ht="15" hidden="0" customHeight="1">
      <x:c r="A910" t="str">
        <x:v>10450909</x:v>
      </x:c>
      <x:c r="B910" t="str">
        <x:v>40870909</x:v>
      </x:c>
      <x:c r="C910" t="str">
        <x:v>2025-01-18</x:v>
      </x:c>
      <x:c r="D910" t="str">
        <x:v>2025-01-18</x:v>
      </x:c>
      <x:c r="E910" t="str">
        <x:v>2025-01-19</x:v>
      </x:c>
      <x:c r="F910" t="str">
        <x:v>U400-DEETHANIZER-500</x:v>
      </x:c>
      <x:c r="G910" t="str">
        <x:v>P-501B</x:v>
      </x:c>
      <x:c r="H910" t="str">
        <x:v>reflux pump B</x:v>
      </x:c>
      <x:c r="I910" t="str">
        <x:v>pump</x:v>
      </x:c>
      <x:c r="J910" t="str">
        <x:v>P3</x:v>
      </x:c>
      <x:c r="K910" t="str">
        <x:v>CLSD</x:v>
      </x:c>
      <x:c r="L910" t="str">
        <x:v>MECH</x:v>
      </x:c>
      <x:c r="M910" t="str">
        <x:v>reflux_pump_degradation</x:v>
      </x:c>
      <x:c r="N910" t="str">
        <x:v>vib high</x:v>
      </x:c>
      <x:c r="O910" t="str">
        <x:v>VIB</x:v>
      </x:c>
      <x:c r="P910" t="str">
        <x:v>ALIGN</x:v>
      </x:c>
      <x:c r="Q910" t="str">
        <x:v>N</x:v>
      </x:c>
      <x:c r="R910" t="str">
        <x:v>3.5</x:v>
      </x:c>
      <x:c r="S910" t="str">
        <x:v>6904.52</x:v>
      </x:c>
      <x:c r="T910" t="str">
        <x:v>P-501B not ok after rflx pump degradation</x:v>
      </x:c>
      <x:c r="U910" t="str">
        <x:v>days called for P-501B reflux pump B, min flow hot seen during reflux pump degradation. Foud vib high; coupling align or cavitation. swapped to standby and repaired. readng close to dcs after job. notif made by ops, maint attended same shift.</x:v>
      </x:c>
    </x:row>
    <x:row r="911" ht="15" hidden="0" customHeight="1">
      <x:c r="A911" t="str">
        <x:v>10450910</x:v>
      </x:c>
      <x:c r="B911" t="str">
        <x:v>40870910</x:v>
      </x:c>
      <x:c r="C911" t="str">
        <x:v>2025-01-20</x:v>
      </x:c>
      <x:c r="D911" t="str">
        <x:v>2025-01-21</x:v>
      </x:c>
      <x:c r="E911" t="str">
        <x:v>2025-01-22</x:v>
      </x:c>
      <x:c r="F911" t="str">
        <x:v>U400-DEETHANIZER-500</x:v>
      </x:c>
      <x:c r="G911" t="str">
        <x:v>TV-501</x:v>
      </x:c>
      <x:c r="H911" t="str">
        <x:v>reboiler hot medium valve</x:v>
      </x:c>
      <x:c r="I911" t="str">
        <x:v>control_valve</x:v>
      </x:c>
      <x:c r="J911" t="str">
        <x:v>P3</x:v>
      </x:c>
      <x:c r="K911" t="str">
        <x:v>TECO</x:v>
      </x:c>
      <x:c r="L911" t="str">
        <x:v>ROT</x:v>
      </x:c>
      <x:c r="M911" t="str">
        <x:v>normal_wear</x:v>
      </x:c>
      <x:c r="N911" t="str">
        <x:v>hunting loop</x:v>
      </x:c>
      <x:c r="O911" t="str">
        <x:v>CTRL_OSC</x:v>
      </x:c>
      <x:c r="P911" t="str">
        <x:v>TUNE</x:v>
      </x:c>
      <x:c r="Q911" t="str">
        <x:v>N</x:v>
      </x:c>
      <x:c r="R911" t="str">
        <x:v>9.4</x:v>
      </x:c>
      <x:c r="S911" t="str">
        <x:v>523.28</x:v>
      </x:c>
      <x:c r="T911" t="str">
        <x:v>TV-501 hunting loop again, prod upset</x:v>
      </x:c>
      <x:c r="U911" t="str">
        <x:v>C shift called for TV-501 rebiler hot medium valve, noise seen during normal wear. Foud hunting loop; bad response after upset. replaced positioner tubing and retuned small. no leak at handover. notif made by ops, maint attended same shift.</x:v>
      </x:c>
    </x:row>
    <x:row r="912" ht="15" hidden="0" customHeight="1">
      <x:c r="A912" t="str">
        <x:v>10450911</x:v>
      </x:c>
      <x:c r="B912" t="str">
        <x:v>40870911</x:v>
      </x:c>
      <x:c r="C912" t="str">
        <x:v>2025-01-23</x:v>
      </x:c>
      <x:c r="D912" t="str">
        <x:v>2025-01-23</x:v>
      </x:c>
      <x:c r="E912" t="str">
        <x:v>2025-01-23</x:v>
      </x:c>
      <x:c r="F912" t="str">
        <x:v>U400-DEETHANIZER-500</x:v>
      </x:c>
      <x:c r="G912" t="str">
        <x:v>FV-502</x:v>
      </x:c>
      <x:c r="H912" t="str">
        <x:v>reflux flow control valve</x:v>
      </x:c>
      <x:c r="I912" t="str">
        <x:v>control_valve</x:v>
      </x:c>
      <x:c r="J912" t="str">
        <x:v>P2</x:v>
      </x:c>
      <x:c r="K912" t="str">
        <x:v>TECO</x:v>
      </x:c>
      <x:c r="L912" t="str">
        <x:v>OPS+INST</x:v>
      </x:c>
      <x:c r="M912" t="str">
        <x:v>reflux_pump_degradation</x:v>
      </x:c>
      <x:c r="N912" t="str">
        <x:v>stiction</x:v>
      </x:c>
      <x:c r="O912" t="str">
        <x:v>STICK</x:v>
      </x:c>
      <x:c r="P912" t="str">
        <x:v>PACKING</x:v>
      </x:c>
      <x:c r="Q912" t="str">
        <x:v>N</x:v>
      </x:c>
      <x:c r="R912" t="str">
        <x:v>5.5</x:v>
      </x:c>
      <x:c r="S912" t="str">
        <x:v>2741.45</x:v>
      </x:c>
      <x:c r="T912" t="str">
        <x:v>FV-502 pump vib, stiction</x:v>
      </x:c>
      <x:c r="U912" t="str">
        <x:v>days called for FV-502 reflux flow ctrl valve, disch press low seen during reflux pump degradation. Foud stiction; stem sticky and pos err. No spare in store at first, used refurb one from shop. replaced positioner tubing and retuned small. ops says ok for now. notif made by ops, maint attended same shift.</x:v>
      </x:c>
    </x:row>
    <x:row r="913" ht="15" hidden="0" customHeight="1">
      <x:c r="A913" t="str">
        <x:v>10450912</x:v>
      </x:c>
      <x:c r="B913" t="str">
        <x:v>40870912</x:v>
      </x:c>
      <x:c r="C913" t="str">
        <x:v>2025-01-25</x:v>
      </x:c>
      <x:c r="D913" t="str">
        <x:v>2025-01-25</x:v>
      </x:c>
      <x:c r="E913" t="str">
        <x:v>2025-01-25</x:v>
      </x:c>
      <x:c r="F913" t="str">
        <x:v>U400-DEETHANIZER-500</x:v>
      </x:c>
      <x:c r="G913" t="str">
        <x:v>P-502A</x:v>
      </x:c>
      <x:c r="H913" t="str">
        <x:v>bottoms pump A</x:v>
      </x:c>
      <x:c r="I913" t="str">
        <x:v>pump</x:v>
      </x:c>
      <x:c r="J913" t="str">
        <x:v>P4</x:v>
      </x:c>
      <x:c r="K913" t="str">
        <x:v>CLSD</x:v>
      </x:c>
      <x:c r="L913" t="str">
        <x:v>ROT</x:v>
      </x:c>
      <x:c r="M913" t="str">
        <x:v>normal_wear</x:v>
      </x:c>
      <x:c r="N913" t="str">
        <x:v>seal leak</x:v>
      </x:c>
      <x:c r="O913" t="str">
        <x:v>MECH_SEAL</x:v>
      </x:c>
      <x:c r="P913" t="str">
        <x:v>SEAL</x:v>
      </x:c>
      <x:c r="Q913" t="str">
        <x:v>N</x:v>
      </x:c>
      <x:c r="R913" t="str">
        <x:v>2.4</x:v>
      </x:c>
      <x:c r="S913" t="str">
        <x:v>4370.79</x:v>
      </x:c>
      <x:c r="T913" t="str">
        <x:v>P-502A not ok after normal wear</x:v>
      </x:c>
      <x:c r="U913" t="str">
        <x:v>B shift called for P-502A bottoms pump A, plugged impulse seen during normal wear. Foud seal leak; seal face worn / dry run signs. cleaned and put back online. no leak at handover. notif made by ops, maint attended same shift.</x:v>
      </x:c>
    </x:row>
    <x:row r="914" ht="15" hidden="0" customHeight="1">
      <x:c r="A914" t="str">
        <x:v>10450913</x:v>
      </x:c>
      <x:c r="B914" t="str">
        <x:v>40870913</x:v>
      </x:c>
      <x:c r="C914" t="str">
        <x:v>2025-01-24</x:v>
      </x:c>
      <x:c r="D914" t="str">
        <x:v>2025-01-24</x:v>
      </x:c>
      <x:c r="E914" t="str">
        <x:v>2025-01-29</x:v>
      </x:c>
      <x:c r="F914" t="str">
        <x:v>U400-DEETHANIZER-500</x:v>
      </x:c>
      <x:c r="G914" t="str">
        <x:v>E-503</x:v>
      </x:c>
      <x:c r="H914" t="str">
        <x:v>feed bottoms exchanger</x:v>
      </x:c>
      <x:c r="I914" t="str">
        <x:v>exchanger</x:v>
      </x:c>
      <x:c r="J914" t="str">
        <x:v>P3</x:v>
      </x:c>
      <x:c r="K914" t="str">
        <x:v>COMP</x:v>
      </x:c>
      <x:c r="L914" t="str">
        <x:v>ANLYZR</x:v>
      </x:c>
      <x:c r="M914" t="str">
        <x:v>feed_temperature_ramp</x:v>
      </x:c>
      <x:c r="N914" t="str">
        <x:v>tube fouling</x:v>
      </x:c>
      <x:c r="O914" t="str">
        <x:v>FOULING</x:v>
      </x:c>
      <x:c r="P914" t="str">
        <x:v>PROCESS</x:v>
      </x:c>
      <x:c r="Q914" t="str">
        <x:v>N</x:v>
      </x:c>
      <x:c r="R914" t="str">
        <x:v>8.2</x:v>
      </x:c>
      <x:c r="S914" t="str">
        <x:v>104.48</x:v>
      </x:c>
      <x:c r="T914" t="str">
        <x:v>E-503 tube fouling bad</x:v>
      </x:c>
      <x:c r="U914" t="str">
        <x:v>night called for E-503 feed bottoms exchanger, rb duty up seen during feed temperature ramp. Foud tube fouling; duty low, delta t poor. swapped to standby and repaired. no leak at handover. notif made by ops, maint attended same shift.</x:v>
      </x:c>
    </x:row>
    <x:row r="915" ht="15" hidden="0" customHeight="1">
      <x:c r="A915" t="str">
        <x:v>10450914</x:v>
      </x:c>
      <x:c r="B915" t="str">
        <x:v>40870914</x:v>
      </x:c>
      <x:c r="C915" t="str">
        <x:v>2025-01-25</x:v>
      </x:c>
      <x:c r="D915" t="str">
        <x:v>2025-01-26</x:v>
      </x:c>
      <x:c r="E915" t="str">
        <x:v>2025-01-26</x:v>
      </x:c>
      <x:c r="F915" t="str">
        <x:v>U400-DEETHANIZER-500</x:v>
      </x:c>
      <x:c r="G915" t="str">
        <x:v>FT-502</x:v>
      </x:c>
      <x:c r="H915" t="str">
        <x:v>reflux flow transmitter</x:v>
      </x:c>
      <x:c r="I915" t="str">
        <x:v>instrument</x:v>
      </x:c>
      <x:c r="J915" t="str">
        <x:v>P4</x:v>
      </x:c>
      <x:c r="K915" t="str">
        <x:v>CLSD</x:v>
      </x:c>
      <x:c r="L915" t="str">
        <x:v>ANLYZR</x:v>
      </x:c>
      <x:c r="M915" t="str">
        <x:v>valve_stiction</x:v>
      </x:c>
      <x:c r="N915" t="str">
        <x:v>impulse plugged</x:v>
      </x:c>
      <x:c r="O915" t="str">
        <x:v>PLUG</x:v>
      </x:c>
      <x:c r="P915" t="str">
        <x:v>PROCESS</x:v>
      </x:c>
      <x:c r="Q915" t="str">
        <x:v>N</x:v>
      </x:c>
      <x:c r="R915" t="str">
        <x:v>11.2</x:v>
      </x:c>
      <x:c r="S915" t="str">
        <x:v>4864.62</x:v>
      </x:c>
      <x:c r="T915" t="str">
        <x:v>FT-502 air leak, impulse plugged</x:v>
      </x:c>
      <x:c r="U915" t="str">
        <x:v>night called for FT-502 reflux flow transmitter, air leak seen during vavle stiction. Foud impulse plugged; tap/line dirty. flushed impulse/sample line. unit stable now. notif made by ops, maint attended same shift.</x:v>
      </x:c>
    </x:row>
    <x:row r="916" ht="15" hidden="0" customHeight="1">
      <x:c r="A916" t="str">
        <x:v>10450915</x:v>
      </x:c>
      <x:c r="B916" t="str">
        <x:v>40870915</x:v>
      </x:c>
      <x:c r="C916" t="str">
        <x:v>2025-01-30</x:v>
      </x:c>
      <x:c r="D916" t="str">
        <x:v>2025-01-30</x:v>
      </x:c>
      <x:c r="E916" t="str">
        <x:v>2025-01-31</x:v>
      </x:c>
      <x:c r="F916" t="str">
        <x:v>U400-DEETHANIZER-500</x:v>
      </x:c>
      <x:c r="G916" t="str">
        <x:v>TV-502</x:v>
      </x:c>
      <x:c r="H916" t="str">
        <x:v>condenser cooling valve</x:v>
      </x:c>
      <x:c r="I916" t="str">
        <x:v>control_valve</x:v>
      </x:c>
      <x:c r="J916" t="str">
        <x:v>P2</x:v>
      </x:c>
      <x:c r="K916" t="str">
        <x:v>CLSD</x:v>
      </x:c>
      <x:c r="L916" t="str">
        <x:v>MECH</x:v>
      </x:c>
      <x:c r="M916" t="str">
        <x:v>valve_stiction</x:v>
      </x:c>
      <x:c r="N916" t="str">
        <x:v>passing</x:v>
      </x:c>
      <x:c r="O916" t="str">
        <x:v>LEAK_BY</x:v>
      </x:c>
      <x:c r="P916" t="str">
        <x:v>SEAT</x:v>
      </x:c>
      <x:c r="Q916" t="str">
        <x:v>N</x:v>
      </x:c>
      <x:c r="R916" t="str">
        <x:v>15.9</x:v>
      </x:c>
      <x:c r="S916" t="str">
        <x:v>1590.0</x:v>
      </x:c>
      <x:c r="T916" t="str">
        <x:v>TV-502 passing after upset</x:v>
      </x:c>
      <x:c r="U916" t="str">
        <x:v>B shift called for TV-502 condenser cooling vavle, position bad seen during vavle stiction. Foud passing; seat leak by. History shows same complain last mnth. swapped to standby and repaired. unit stable now. notif made by ops, maint attended same shift.</x:v>
      </x:c>
    </x:row>
    <x:row r="917" ht="15" hidden="0" customHeight="1">
      <x:c r="A917" t="str">
        <x:v>10450916</x:v>
      </x:c>
      <x:c r="B917" t="str">
        <x:v>40870916</x:v>
      </x:c>
      <x:c r="C917" t="str">
        <x:v>2025-01-27</x:v>
      </x:c>
      <x:c r="D917" t="str">
        <x:v>2025-01-27</x:v>
      </x:c>
      <x:c r="E917" t="str">
        <x:v>2025-01-28</x:v>
      </x:c>
      <x:c r="F917" t="str">
        <x:v>U400-DEETHANIZER-500</x:v>
      </x:c>
      <x:c r="G917" t="str">
        <x:v>PV-501</x:v>
      </x:c>
      <x:c r="H917" t="str">
        <x:v>column pressure control valve</x:v>
      </x:c>
      <x:c r="I917" t="str">
        <x:v>control_valve</x:v>
      </x:c>
      <x:c r="J917" t="str">
        <x:v>P3</x:v>
      </x:c>
      <x:c r="K917" t="str">
        <x:v>TECO</x:v>
      </x:c>
      <x:c r="L917" t="str">
        <x:v>E&amp;I</x:v>
      </x:c>
      <x:c r="M917" t="str">
        <x:v>condenser_fouling</x:v>
      </x:c>
      <x:c r="N917" t="str">
        <x:v>not stroking</x:v>
      </x:c>
      <x:c r="O917" t="str">
        <x:v>NO_TRAVEL</x:v>
      </x:c>
      <x:c r="P917" t="str">
        <x:v>ACT</x:v>
      </x:c>
      <x:c r="Q917" t="str">
        <x:v>N</x:v>
      </x:c>
      <x:c r="R917" t="str">
        <x:v>4.4</x:v>
      </x:c>
      <x:c r="S917" t="str">
        <x:v>5560.83</x:v>
      </x:c>
      <x:c r="T917" t="str">
        <x:v>PV-501 drum temp hi, not stroking</x:v>
      </x:c>
      <x:c r="U917" t="str">
        <x:v>days called for PV-501 column pressure control valve, high ovhd press seen during condnsr fouling. Foud not stroking; actuator weak. swapped to standby and repaired. need watch next feed swing. notif made by ops, maint attended same shift.</x:v>
      </x:c>
    </x:row>
    <x:row r="918" ht="15" hidden="0" customHeight="1">
      <x:c r="A918" t="str">
        <x:v>10450917</x:v>
      </x:c>
      <x:c r="B918" t="str">
        <x:v>40870917</x:v>
      </x:c>
      <x:c r="C918" t="str">
        <x:v>2025-01-30</x:v>
      </x:c>
      <x:c r="D918" t="str">
        <x:v>2025-01-31</x:v>
      </x:c>
      <x:c r="E918" t="str">
        <x:v>2025-02-01</x:v>
      </x:c>
      <x:c r="F918" t="str">
        <x:v>U400-DEETHANIZER-500</x:v>
      </x:c>
      <x:c r="G918" t="str">
        <x:v>TT-501B</x:v>
      </x:c>
      <x:c r="H918" t="str">
        <x:v>sensitive tray temperature tx</x:v>
      </x:c>
      <x:c r="I918" t="str">
        <x:v>instrument</x:v>
      </x:c>
      <x:c r="J918" t="str">
        <x:v>P3</x:v>
      </x:c>
      <x:c r="K918" t="str">
        <x:v>CLSD</x:v>
      </x:c>
      <x:c r="L918" t="str">
        <x:v>E&amp;I</x:v>
      </x:c>
      <x:c r="M918" t="str">
        <x:v>normal_wear</x:v>
      </x:c>
      <x:c r="N918" t="str">
        <x:v>range err</x:v>
      </x:c>
      <x:c r="O918" t="str">
        <x:v>SPAN</x:v>
      </x:c>
      <x:c r="P918" t="str">
        <x:v>CAL</x:v>
      </x:c>
      <x:c r="Q918" t="str">
        <x:v>N</x:v>
      </x:c>
      <x:c r="R918" t="str">
        <x:v>5.9</x:v>
      </x:c>
      <x:c r="S918" t="str">
        <x:v>965.56</x:v>
      </x:c>
      <x:c r="T918" t="str">
        <x:v>TT-501B not ok after normal wear</x:v>
      </x:c>
      <x:c r="U918" t="str">
        <x:v>days called for TT-501B sensitive tray temperature tx, noise seen during normal wear. Foud range err; span shifted. stroke tested, response better. readng close to dcs after job. notif made by ops, maint attended same shift.</x:v>
      </x:c>
    </x:row>
    <x:row r="919" ht="15" hidden="0" customHeight="1">
      <x:c r="A919" t="str">
        <x:v>10450918</x:v>
      </x:c>
      <x:c r="B919" t="str">
        <x:v>40870918</x:v>
      </x:c>
      <x:c r="C919" t="str">
        <x:v>2025-02-01</x:v>
      </x:c>
      <x:c r="D919" t="str">
        <x:v>2025-02-01</x:v>
      </x:c>
      <x:c r="E919" t="str">
        <x:v>2025-02-03</x:v>
      </x:c>
      <x:c r="F919" t="str">
        <x:v>U400-DEETHANIZER-500</x:v>
      </x:c>
      <x:c r="G919" t="str">
        <x:v>P-502B</x:v>
      </x:c>
      <x:c r="H919" t="str">
        <x:v>bottoms pump B</x:v>
      </x:c>
      <x:c r="I919" t="str">
        <x:v>pump</x:v>
      </x:c>
      <x:c r="J919" t="str">
        <x:v>P3</x:v>
      </x:c>
      <x:c r="K919" t="str">
        <x:v>COMP</x:v>
      </x:c>
      <x:c r="L919" t="str">
        <x:v>INST</x:v>
      </x:c>
      <x:c r="M919" t="str">
        <x:v>normal_wear</x:v>
      </x:c>
      <x:c r="N919" t="str">
        <x:v>seal leak</x:v>
      </x:c>
      <x:c r="O919" t="str">
        <x:v>MECH_SEAL</x:v>
      </x:c>
      <x:c r="P919" t="str">
        <x:v>SEAL</x:v>
      </x:c>
      <x:c r="Q919" t="str">
        <x:v>N</x:v>
      </x:c>
      <x:c r="R919" t="str">
        <x:v>1.3</x:v>
      </x:c>
      <x:c r="S919" t="str">
        <x:v>5370.38</x:v>
      </x:c>
      <x:c r="T919" t="str">
        <x:v>P-502B not ok after normal wear</x:v>
      </x:c>
      <x:c r="U919" t="str">
        <x:v>B shift called for P-502B bottoms pump B, noise seen during normal wear. Foud seal leak; seal face worn / dry run signs. Line was hot so job done slow and with ops standing by. stroke tested, response better. ops says ok for now. notif made by ops, maint attended same shift.</x:v>
      </x:c>
    </x:row>
    <x:row r="920" ht="15" hidden="0" customHeight="1">
      <x:c r="A920" t="str">
        <x:v>10450919</x:v>
      </x:c>
      <x:c r="B920" t="str">
        <x:v>40870919</x:v>
      </x:c>
      <x:c r="C920" t="str">
        <x:v>2025-01-31</x:v>
      </x:c>
      <x:c r="D920" t="str">
        <x:v>2025-01-31</x:v>
      </x:c>
      <x:c r="E920" t="str">
        <x:v>2025-01-31</x:v>
      </x:c>
      <x:c r="F920" t="str">
        <x:v>U400-DEETHANIZER-500</x:v>
      </x:c>
      <x:c r="G920" t="str">
        <x:v>TT-501B</x:v>
      </x:c>
      <x:c r="H920" t="str">
        <x:v>sensitive tray temperature tx</x:v>
      </x:c>
      <x:c r="I920" t="str">
        <x:v>instrument</x:v>
      </x:c>
      <x:c r="J920" t="str">
        <x:v>P3</x:v>
      </x:c>
      <x:c r="K920" t="str">
        <x:v>CLSD</x:v>
      </x:c>
      <x:c r="L920" t="str">
        <x:v>OPS+INST</x:v>
      </x:c>
      <x:c r="M920" t="str">
        <x:v>reboiler_duty_loss</x:v>
      </x:c>
      <x:c r="N920" t="str">
        <x:v>impulse plugged</x:v>
      </x:c>
      <x:c r="O920" t="str">
        <x:v>PLUG</x:v>
      </x:c>
      <x:c r="P920" t="str">
        <x:v>PROCESS</x:v>
      </x:c>
      <x:c r="Q920" t="str">
        <x:v>N</x:v>
      </x:c>
      <x:c r="R920" t="str">
        <x:v>15.0</x:v>
      </x:c>
      <x:c r="S920" t="str">
        <x:v>3950.41</x:v>
      </x:c>
      <x:c r="T920" t="str">
        <x:v>TT-501B impulse plugged again, prod upset</x:v>
      </x:c>
      <x:c r="U920" t="str">
        <x:v>night called for TT-501B sensitive tray temperature tx, steam/hm valve no resp seen during reboiler duty loss. Foud impulse plugged; tap/line dirty. cleaned and put back online. readng close to dcs after job. notif made by ops, maint attended same shift.</x:v>
      </x:c>
    </x:row>
    <x:row r="921" ht="15" hidden="0" customHeight="1">
      <x:c r="A921" t="str">
        <x:v>10450920</x:v>
      </x:c>
      <x:c r="B921" t="str">
        <x:v>40870920</x:v>
      </x:c>
      <x:c r="C921" t="str">
        <x:v>2025-02-06</x:v>
      </x:c>
      <x:c r="D921" t="str">
        <x:v>2025-02-06</x:v>
      </x:c>
      <x:c r="E921" t="str">
        <x:v>2025-02-11</x:v>
      </x:c>
      <x:c r="F921" t="str">
        <x:v>U400-DEETHANIZER-500</x:v>
      </x:c>
      <x:c r="G921" t="str">
        <x:v>FV-502</x:v>
      </x:c>
      <x:c r="H921" t="str">
        <x:v>reflux flow control valve</x:v>
      </x:c>
      <x:c r="I921" t="str">
        <x:v>control_valve</x:v>
      </x:c>
      <x:c r="J921" t="str">
        <x:v>P3</x:v>
      </x:c>
      <x:c r="K921" t="str">
        <x:v>TECO</x:v>
      </x:c>
      <x:c r="L921" t="str">
        <x:v>INST</x:v>
      </x:c>
      <x:c r="M921" t="str">
        <x:v>reflux_pump_degradation</x:v>
      </x:c>
      <x:c r="N921" t="str">
        <x:v>hunting loop</x:v>
      </x:c>
      <x:c r="O921" t="str">
        <x:v>CTRL_OSC</x:v>
      </x:c>
      <x:c r="P921" t="str">
        <x:v>TUNE</x:v>
      </x:c>
      <x:c r="Q921" t="str">
        <x:v>N</x:v>
      </x:c>
      <x:c r="R921" t="str">
        <x:v>7.0</x:v>
      </x:c>
      <x:c r="S921" t="str">
        <x:v>3531.83</x:v>
      </x:c>
      <x:c r="T921" t="str">
        <x:v>FV-502 low reflux, hunting loop</x:v>
      </x:c>
      <x:c r="U921" t="str">
        <x:v>A shift called for FV-502 reflux flow control valve, min flow hot seen during reflux pump degradation. Foud hunting loop; bad response after upset. Tag plate dirty, confirmd by line up with panel. flushed impulse/sample line. no leak at handover. notif made by ops, maint attended same shift.</x:v>
      </x:c>
    </x:row>
    <x:row r="922" ht="15" hidden="0" customHeight="1">
      <x:c r="A922" t="str">
        <x:v>10450921</x:v>
      </x:c>
      <x:c r="B922" t="str">
        <x:v>40870921</x:v>
      </x:c>
      <x:c r="C922" t="str">
        <x:v>2025-02-03</x:v>
      </x:c>
      <x:c r="D922" t="str">
        <x:v>2025-02-03</x:v>
      </x:c>
      <x:c r="E922" t="str">
        <x:v>2025-02-04</x:v>
      </x:c>
      <x:c r="F922" t="str">
        <x:v>U400-DEETHANIZER-500</x:v>
      </x:c>
      <x:c r="G922" t="str">
        <x:v>P-501B</x:v>
      </x:c>
      <x:c r="H922" t="str">
        <x:v>reflux pump B</x:v>
      </x:c>
      <x:c r="I922" t="str">
        <x:v>pump</x:v>
      </x:c>
      <x:c r="J922" t="str">
        <x:v>P2</x:v>
      </x:c>
      <x:c r="K922" t="str">
        <x:v>CLSD</x:v>
      </x:c>
      <x:c r="L922" t="str">
        <x:v>MECH</x:v>
      </x:c>
      <x:c r="M922" t="str">
        <x:v>valve_stiction</x:v>
      </x:c>
      <x:c r="N922" t="str">
        <x:v>motor trip</x:v>
      </x:c>
      <x:c r="O922" t="str">
        <x:v>MOTOR</x:v>
      </x:c>
      <x:c r="P922" t="str">
        <x:v>ELEC</x:v>
      </x:c>
      <x:c r="Q922" t="str">
        <x:v>N</x:v>
      </x:c>
      <x:c r="R922" t="str">
        <x:v>12.4</x:v>
      </x:c>
      <x:c r="S922" t="str">
        <x:v>15645.82</x:v>
      </x:c>
      <x:c r="T922" t="str">
        <x:v>P-501B position bad, motor trip</x:v>
      </x:c>
      <x:c r="U922" t="str">
        <x:v>C shift called for P-501B rflx pump B, op jumps seen during valve stiction. Foud motor trip; overload trip after upset. History shows same complain last mnth. tightened fittings, leak test ok. unit stable now. notif made by ops, maint attended same shift.</x:v>
      </x:c>
    </x:row>
    <x:row r="923" ht="15" hidden="0" customHeight="1">
      <x:c r="A923" t="str">
        <x:v>10450922</x:v>
      </x:c>
      <x:c r="B923" t="str">
        <x:v>40870922</x:v>
      </x:c>
      <x:c r="C923" t="str">
        <x:v>2025-02-07</x:v>
      </x:c>
      <x:c r="D923" t="str">
        <x:v>2025-02-07</x:v>
      </x:c>
      <x:c r="E923" t="str">
        <x:v>2025-02-12</x:v>
      </x:c>
      <x:c r="F923" t="str">
        <x:v>U400-DEETHANIZER-500</x:v>
      </x:c>
      <x:c r="G923" t="str">
        <x:v>TT-501B</x:v>
      </x:c>
      <x:c r="H923" t="str">
        <x:v>sensitive tray temperature tx</x:v>
      </x:c>
      <x:c r="I923" t="str">
        <x:v>instrument</x:v>
      </x:c>
      <x:c r="J923" t="str">
        <x:v>P4</x:v>
      </x:c>
      <x:c r="K923" t="str">
        <x:v>TECO</x:v>
      </x:c>
      <x:c r="L923" t="str">
        <x:v>ANLYZR</x:v>
      </x:c>
      <x:c r="M923" t="str">
        <x:v>feed_temperature_ramp</x:v>
      </x:c>
      <x:c r="N923" t="str">
        <x:v>no signal</x:v>
      </x:c>
      <x:c r="O923" t="str">
        <x:v>NO_SIGNAL</x:v>
      </x:c>
      <x:c r="P923" t="str">
        <x:v>ELEC</x:v>
      </x:c>
      <x:c r="Q923" t="str">
        <x:v>N</x:v>
      </x:c>
      <x:c r="R923" t="str">
        <x:v>4.0</x:v>
      </x:c>
      <x:c r="S923" t="str">
        <x:v>188.25</x:v>
      </x:c>
      <x:c r="T923" t="str">
        <x:v>TT-501B no signal again, prod upset</x:v>
      </x:c>
      <x:c r="U923" t="str">
        <x:v>night called for TT-501B sensitive tray temperature tx, ovhd press moving seen during feed temperature ramp. Foud no signal; 24v or card issue. No spare in store at first, used refurb one from shop. stroke tested, response better. ops says ok for now. notif made by ops, maint attended same shift.</x:v>
      </x:c>
    </x:row>
    <x:row r="924" ht="15" hidden="0" customHeight="1">
      <x:c r="A924" t="str">
        <x:v>10450923</x:v>
      </x:c>
      <x:c r="B924" t="str">
        <x:v>40870923</x:v>
      </x:c>
      <x:c r="C924" t="str">
        <x:v>2025-02-10</x:v>
      </x:c>
      <x:c r="D924" t="str">
        <x:v>2025-02-11</x:v>
      </x:c>
      <x:c r="E924" t="str">
        <x:v>2025-02-11</x:v>
      </x:c>
      <x:c r="F924" t="str">
        <x:v>U400-DEETHANIZER-500</x:v>
      </x:c>
      <x:c r="G924" t="str">
        <x:v>TT-503</x:v>
      </x:c>
      <x:c r="H924" t="str">
        <x:v>reboiler outlet temperature tx</x:v>
      </x:c>
      <x:c r="I924" t="str">
        <x:v>instrument</x:v>
      </x:c>
      <x:c r="J924" t="str">
        <x:v>P3</x:v>
      </x:c>
      <x:c r="K924" t="str">
        <x:v>CLSD</x:v>
      </x:c>
      <x:c r="L924" t="str">
        <x:v>E&amp;I</x:v>
      </x:c>
      <x:c r="M924" t="str">
        <x:v>reboiler_duty_loss</x:v>
      </x:c>
      <x:c r="N924" t="str">
        <x:v>impulse plugged</x:v>
      </x:c>
      <x:c r="O924" t="str">
        <x:v>PLUG</x:v>
      </x:c>
      <x:c r="P924" t="str">
        <x:v>PROCESS</x:v>
      </x:c>
      <x:c r="Q924" t="str">
        <x:v>N</x:v>
      </x:c>
      <x:c r="R924" t="str">
        <x:v>17.4</x:v>
      </x:c>
      <x:c r="S924" t="str">
        <x:v>144.59</x:v>
      </x:c>
      <x:c r="T924" t="str">
        <x:v>TT-503 tray temp low, impulse plugged</x:v>
      </x:c>
      <x:c r="U924" t="str">
        <x:v>B shift called for TT-503 reboiler outlet temperature tx, low heat seen during reboiler duty loss. Foud impulse plugged; tap/line dirty. History shows same complain last mnth. changed gasket and boxed up. need watch next feed swing. notif made by ops, maint attended same shift.</x:v>
      </x:c>
    </x:row>
    <x:row r="925" ht="15" hidden="0" customHeight="1">
      <x:c r="A925" t="str">
        <x:v>10450924</x:v>
      </x:c>
      <x:c r="B925" t="str">
        <x:v>40870924</x:v>
      </x:c>
      <x:c r="C925" t="str">
        <x:v>2025-02-07</x:v>
      </x:c>
      <x:c r="D925" t="str">
        <x:v>2025-02-07</x:v>
      </x:c>
      <x:c r="E925" t="str">
        <x:v>2025-02-08</x:v>
      </x:c>
      <x:c r="F925" t="str">
        <x:v>U400-DEETHANIZER-500</x:v>
      </x:c>
      <x:c r="G925" t="str">
        <x:v>TT-503</x:v>
      </x:c>
      <x:c r="H925" t="str">
        <x:v>reboiler outlet temperature tx</x:v>
      </x:c>
      <x:c r="I925" t="str">
        <x:v>instrument</x:v>
      </x:c>
      <x:c r="J925" t="str">
        <x:v>P3</x:v>
      </x:c>
      <x:c r="K925" t="str">
        <x:v>CLSD</x:v>
      </x:c>
      <x:c r="L925" t="str">
        <x:v>OPS+INST</x:v>
      </x:c>
      <x:c r="M925" t="str">
        <x:v>reboiler_duty_loss</x:v>
      </x:c>
      <x:c r="N925" t="str">
        <x:v>impulse plugged</x:v>
      </x:c>
      <x:c r="O925" t="str">
        <x:v>PLUG</x:v>
      </x:c>
      <x:c r="P925" t="str">
        <x:v>PROCESS</x:v>
      </x:c>
      <x:c r="Q925" t="str">
        <x:v>N</x:v>
      </x:c>
      <x:c r="R925" t="str">
        <x:v>6.6</x:v>
      </x:c>
      <x:c r="S925" t="str">
        <x:v>1880.44</x:v>
      </x:c>
      <x:c r="T925" t="str">
        <x:v>TT-503 impulse plugged again, prod upset</x:v>
      </x:c>
      <x:c r="U925" t="str">
        <x:v>A shift called for TT-503 rebiler outlet temp tx, steam/hm valve no resp seen during rebiler duty loss. Foud impulse plugged; tap/line dirty. opened strainer, cleaned black sludge. no leak at handover. notif made by ops, maint attended same shift.</x:v>
      </x:c>
    </x:row>
    <x:row r="926" ht="15" hidden="0" customHeight="1">
      <x:c r="A926" t="str">
        <x:v>10450925</x:v>
      </x:c>
      <x:c r="B926" t="str">
        <x:v>40870925</x:v>
      </x:c>
      <x:c r="C926" t="str">
        <x:v>2025-02-13</x:v>
      </x:c>
      <x:c r="D926" t="str">
        <x:v>2025-02-13</x:v>
      </x:c>
      <x:c r="E926" t="str">
        <x:v>2025-02-14</x:v>
      </x:c>
      <x:c r="F926" t="str">
        <x:v>U400-DEETHANIZER-500</x:v>
      </x:c>
      <x:c r="G926" t="str">
        <x:v>FV-502</x:v>
      </x:c>
      <x:c r="H926" t="str">
        <x:v>reflux flow control valve</x:v>
      </x:c>
      <x:c r="I926" t="str">
        <x:v>control_valve</x:v>
      </x:c>
      <x:c r="J926" t="str">
        <x:v>P4</x:v>
      </x:c>
      <x:c r="K926" t="str">
        <x:v>CLSD</x:v>
      </x:c>
      <x:c r="L926" t="str">
        <x:v>ANLYZR</x:v>
      </x:c>
      <x:c r="M926" t="str">
        <x:v>valve_stiction</x:v>
      </x:c>
      <x:c r="N926" t="str">
        <x:v>passing</x:v>
      </x:c>
      <x:c r="O926" t="str">
        <x:v>LEAK_BY</x:v>
      </x:c>
      <x:c r="P926" t="str">
        <x:v>SEAT</x:v>
      </x:c>
      <x:c r="Q926" t="str">
        <x:v>N</x:v>
      </x:c>
      <x:c r="R926" t="str">
        <x:v>15.7</x:v>
      </x:c>
      <x:c r="S926" t="str">
        <x:v>4018.97</x:v>
      </x:c>
      <x:c r="T926" t="str">
        <x:v>FV-502 passing again, prod upset</x:v>
      </x:c>
      <x:c r="U926" t="str">
        <x:v>days called for FV-502 reflux flow ctrl valve, position bad seen during valve stiction. Foud passing; seat leak by. calibrated, loop checked with CCR. unit stable now. notif made by ops, maint attended same shift.</x:v>
      </x:c>
    </x:row>
    <x:row r="927" ht="15" hidden="0" customHeight="1">
      <x:c r="A927" t="str">
        <x:v>10450926</x:v>
      </x:c>
      <x:c r="B927" t="str">
        <x:v>40870926</x:v>
      </x:c>
      <x:c r="C927" t="str">
        <x:v>2025-02-15</x:v>
      </x:c>
      <x:c r="D927" t="str">
        <x:v>2025-02-15</x:v>
      </x:c>
      <x:c r="E927" t="str">
        <x:v>2025-02-15</x:v>
      </x:c>
      <x:c r="F927" t="str">
        <x:v>U400-DEETHANIZER-500</x:v>
      </x:c>
      <x:c r="G927" t="str">
        <x:v>E-502</x:v>
      </x:c>
      <x:c r="H927" t="str">
        <x:v>deethanizer overhead condenser</x:v>
      </x:c>
      <x:c r="I927" t="str">
        <x:v>condenser</x:v>
      </x:c>
      <x:c r="J927" t="str">
        <x:v>P2</x:v>
      </x:c>
      <x:c r="K927" t="str">
        <x:v>CLSD</x:v>
      </x:c>
      <x:c r="L927" t="str">
        <x:v>INST</x:v>
      </x:c>
      <x:c r="M927" t="str">
        <x:v>pressure_control_fault</x:v>
      </x:c>
      <x:c r="N927" t="str">
        <x:v>cw fouling</x:v>
      </x:c>
      <x:c r="O927" t="str">
        <x:v>FOULING</x:v>
      </x:c>
      <x:c r="P927" t="str">
        <x:v>UTILITY</x:v>
      </x:c>
      <x:c r="Q927" t="str">
        <x:v>N</x:v>
      </x:c>
      <x:c r="R927" t="str">
        <x:v>17.7</x:v>
      </x:c>
      <x:c r="S927" t="str">
        <x:v>12837.46</x:v>
      </x:c>
      <x:c r="T927" t="str">
        <x:v>chk E-502 - cw fouling frm ops</x:v>
      </x:c>
      <x:c r="U927" t="str">
        <x:v>C shift called for E-502 deethanizer overhead condenser, pv not movng seen during press control fault. Foud cw fouling; cw side scaled. changed gasket and boxed up. still little hunting but acceptable. notif made by ops, maint attended same shift.</x:v>
      </x:c>
    </x:row>
    <x:row r="928" ht="15" hidden="0" customHeight="1">
      <x:c r="A928" t="str">
        <x:v>10450927</x:v>
      </x:c>
      <x:c r="B928" t="str">
        <x:v>40870927</x:v>
      </x:c>
      <x:c r="C928" t="str">
        <x:v>2025-02-16</x:v>
      </x:c>
      <x:c r="D928" t="str">
        <x:v>2025-02-17</x:v>
      </x:c>
      <x:c r="E928" t="str">
        <x:v>2025-02-17</x:v>
      </x:c>
      <x:c r="F928" t="str">
        <x:v>U400-DEETHANIZER-500</x:v>
      </x:c>
      <x:c r="G928" t="str">
        <x:v>FT-502</x:v>
      </x:c>
      <x:c r="H928" t="str">
        <x:v>reflux flow transmitter</x:v>
      </x:c>
      <x:c r="I928" t="str">
        <x:v>instrument</x:v>
      </x:c>
      <x:c r="J928" t="str">
        <x:v>P2</x:v>
      </x:c>
      <x:c r="K928" t="str">
        <x:v>CLSD</x:v>
      </x:c>
      <x:c r="L928" t="str">
        <x:v>INST</x:v>
      </x:c>
      <x:c r="M928" t="str">
        <x:v>reflux_pump_degradation</x:v>
      </x:c>
      <x:c r="N928" t="str">
        <x:v>no signal</x:v>
      </x:c>
      <x:c r="O928" t="str">
        <x:v>NO_SIGNAL</x:v>
      </x:c>
      <x:c r="P928" t="str">
        <x:v>ELEC</x:v>
      </x:c>
      <x:c r="Q928" t="str">
        <x:v>N</x:v>
      </x:c>
      <x:c r="R928" t="str">
        <x:v>16.5</x:v>
      </x:c>
      <x:c r="S928" t="str">
        <x:v>3158.87</x:v>
      </x:c>
      <x:c r="T928" t="str">
        <x:v>FT-502 min flow hot, no signal</x:v>
      </x:c>
      <x:c r="U928" t="str">
        <x:v>night called for FT-502 rflx flow transmitter, seal weep seen during rflx pump degradation. Foud no signal; 24v or card issue. Could not get permit first time waiting area gas test. changed gasket and boxed up. temp repair only, plan shutdown job. notif made by ops, maint attended same shift.</x:v>
      </x:c>
    </x:row>
    <x:row r="929" ht="15" hidden="0" customHeight="1">
      <x:c r="A929" t="str">
        <x:v>10450928</x:v>
      </x:c>
      <x:c r="B929" t="str">
        <x:v>40870928</x:v>
      </x:c>
      <x:c r="C929" t="str">
        <x:v>2025-02-17</x:v>
      </x:c>
      <x:c r="D929" t="str">
        <x:v>2025-02-18</x:v>
      </x:c>
      <x:c r="E929" t="str">
        <x:v>2025-02-19</x:v>
      </x:c>
      <x:c r="F929" t="str">
        <x:v>U400-DEETHANIZER-500</x:v>
      </x:c>
      <x:c r="G929" t="str">
        <x:v>TV-501</x:v>
      </x:c>
      <x:c r="H929" t="str">
        <x:v>reboiler hot medium valve</x:v>
      </x:c>
      <x:c r="I929" t="str">
        <x:v>control_valve</x:v>
      </x:c>
      <x:c r="J929" t="str">
        <x:v>P4</x:v>
      </x:c>
      <x:c r="K929" t="str">
        <x:v>CLSD</x:v>
      </x:c>
      <x:c r="L929" t="str">
        <x:v>INST</x:v>
      </x:c>
      <x:c r="M929" t="str">
        <x:v>valve_stiction</x:v>
      </x:c>
      <x:c r="N929" t="str">
        <x:v>stiction</x:v>
      </x:c>
      <x:c r="O929" t="str">
        <x:v>STICK</x:v>
      </x:c>
      <x:c r="P929" t="str">
        <x:v>PACKING</x:v>
      </x:c>
      <x:c r="Q929" t="str">
        <x:v>N</x:v>
      </x:c>
      <x:c r="R929" t="str">
        <x:v>9.4</x:v>
      </x:c>
      <x:c r="S929" t="str">
        <x:v>3043.61</x:v>
      </x:c>
      <x:c r="T929" t="str">
        <x:v>TV-501 stiction again</x:v>
      </x:c>
      <x:c r="U929" t="str">
        <x:v>night called for TV-501 reboiler hot medium valve, valve sticking seen during valve stiction. Foud stiction; stem sticky and pos err. swapped to standby and repaired. no leak at handover. notif made by ops, maint attended same shift.</x:v>
      </x:c>
    </x:row>
    <x:row r="930" ht="15" hidden="0" customHeight="1">
      <x:c r="A930" t="str">
        <x:v>10450929</x:v>
      </x:c>
      <x:c r="B930" t="str">
        <x:v>40870929</x:v>
      </x:c>
      <x:c r="C930" t="str">
        <x:v>2025-02-14</x:v>
      </x:c>
      <x:c r="D930" t="str">
        <x:v>2025-02-15</x:v>
      </x:c>
      <x:c r="E930" t="str">
        <x:v>2025-02-17</x:v>
      </x:c>
      <x:c r="F930" t="str">
        <x:v>U400-DEETHANIZER-500</x:v>
      </x:c>
      <x:c r="G930" t="str">
        <x:v>AIT-501</x:v>
      </x:c>
      <x:c r="H930" t="str">
        <x:v>overhead C2 analyzer</x:v>
      </x:c>
      <x:c r="I930" t="str">
        <x:v>analyzer</x:v>
      </x:c>
      <x:c r="J930" t="str">
        <x:v>P4</x:v>
      </x:c>
      <x:c r="K930" t="str">
        <x:v>CLSD</x:v>
      </x:c>
      <x:c r="L930" t="str">
        <x:v>E&amp;I</x:v>
      </x:c>
      <x:c r="M930" t="str">
        <x:v>pressure_control_fault</x:v>
      </x:c>
      <x:c r="N930" t="str">
        <x:v>bad gc cycle</x:v>
      </x:c>
      <x:c r="O930" t="str">
        <x:v>NO_ANALYSIS</x:v>
      </x:c>
      <x:c r="P930" t="str">
        <x:v>ELEC</x:v>
      </x:c>
      <x:c r="Q930" t="str">
        <x:v>N</x:v>
      </x:c>
      <x:c r="R930" t="str">
        <x:v>6.7</x:v>
      </x:c>
      <x:c r="S930" t="str">
        <x:v>4412.74</x:v>
      </x:c>
      <x:c r="T930" t="str">
        <x:v>AIT-501 pic unstable, bad gc cycle</x:v>
      </x:c>
      <x:c r="U930" t="str">
        <x:v>night called for AIT-501 overhead C2 analyzer, flare valve checked seen during pressure control fault. Foud bad gc cycle; cycle abort. Could not get permit first time waiting area gas test. stroke tested, response better. need watch next feed swing. notif made by ops, maint attended same shift.</x:v>
      </x:c>
    </x:row>
    <x:row r="931" ht="15" hidden="0" customHeight="1">
      <x:c r="A931" t="str">
        <x:v>10450930</x:v>
      </x:c>
      <x:c r="B931" t="str">
        <x:v>40870930</x:v>
      </x:c>
      <x:c r="C931" t="str">
        <x:v>2025-02-20</x:v>
      </x:c>
      <x:c r="D931" t="str">
        <x:v>2025-02-21</x:v>
      </x:c>
      <x:c r="E931" t="str">
        <x:v>2025-02-22</x:v>
      </x:c>
      <x:c r="F931" t="str">
        <x:v>U400-DEETHANIZER-500</x:v>
      </x:c>
      <x:c r="G931" t="str">
        <x:v>FV-502</x:v>
      </x:c>
      <x:c r="H931" t="str">
        <x:v>reflux flow control valve</x:v>
      </x:c>
      <x:c r="I931" t="str">
        <x:v>control_valve</x:v>
      </x:c>
      <x:c r="J931" t="str">
        <x:v>P3</x:v>
      </x:c>
      <x:c r="K931" t="str">
        <x:v>COMP</x:v>
      </x:c>
      <x:c r="L931" t="str">
        <x:v>ANLYZR</x:v>
      </x:c>
      <x:c r="M931" t="str">
        <x:v>pressure_control_fault</x:v>
      </x:c>
      <x:c r="N931" t="str">
        <x:v>passing</x:v>
      </x:c>
      <x:c r="O931" t="str">
        <x:v>LEAK_BY</x:v>
      </x:c>
      <x:c r="P931" t="str">
        <x:v>SEAT</x:v>
      </x:c>
      <x:c r="Q931" t="str">
        <x:v>N</x:v>
      </x:c>
      <x:c r="R931" t="str">
        <x:v>17.1</x:v>
      </x:c>
      <x:c r="S931" t="str">
        <x:v>2170.76</x:v>
      </x:c>
      <x:c r="T931" t="str">
        <x:v>chk FV-502 - passing frm ops</x:v>
      </x:c>
      <x:c r="U931" t="str">
        <x:v>A shift called for FV-502 rflx flow control valve, press spike seen during pressure control fault. Foud passing; seat leak by. stroke tested, response better. unit stable now. notif made by ops, maint attended same shift.</x:v>
      </x:c>
    </x:row>
    <x:row r="932" ht="15" hidden="0" customHeight="1">
      <x:c r="A932" t="str">
        <x:v>10450931</x:v>
      </x:c>
      <x:c r="B932" t="str">
        <x:v>40870931</x:v>
      </x:c>
      <x:c r="C932" t="str">
        <x:v>2025-02-18</x:v>
      </x:c>
      <x:c r="D932" t="str">
        <x:v>2025-02-18</x:v>
      </x:c>
      <x:c r="E932" t="str">
        <x:v>2025-02-19</x:v>
      </x:c>
      <x:c r="F932" t="str">
        <x:v>U400-DEETHANIZER-500</x:v>
      </x:c>
      <x:c r="G932" t="str">
        <x:v>LV-501</x:v>
      </x:c>
      <x:c r="H932" t="str">
        <x:v>reflux drum level valve</x:v>
      </x:c>
      <x:c r="I932" t="str">
        <x:v>control_valve</x:v>
      </x:c>
      <x:c r="J932" t="str">
        <x:v>P2</x:v>
      </x:c>
      <x:c r="K932" t="str">
        <x:v>TECO</x:v>
      </x:c>
      <x:c r="L932" t="str">
        <x:v>OPS+MECH</x:v>
      </x:c>
      <x:c r="M932" t="str">
        <x:v>reflux_pump_degradation</x:v>
      </x:c>
      <x:c r="N932" t="str">
        <x:v>not stroking</x:v>
      </x:c>
      <x:c r="O932" t="str">
        <x:v>NO_TRAVEL</x:v>
      </x:c>
      <x:c r="P932" t="str">
        <x:v>ACT</x:v>
      </x:c>
      <x:c r="Q932" t="str">
        <x:v>Y</x:v>
      </x:c>
      <x:c r="R932" t="str">
        <x:v>18.6</x:v>
      </x:c>
      <x:c r="S932" t="str">
        <x:v>3355.77</x:v>
      </x:c>
      <x:c r="T932" t="str">
        <x:v>LV-501 not stroking ops req</x:v>
      </x:c>
      <x:c r="U932" t="str">
        <x:v>night called for LV-501 reflux drum level valve, disch press low seen during reflux pump degradation. Foud not stroking; actuator weak. History shows same complain last mnth. changed gasket and boxed up. need watch next feed swing. notif made by ops, maint attended same shift.</x:v>
      </x:c>
    </x:row>
    <x:row r="933" ht="15" hidden="0" customHeight="1">
      <x:c r="A933" t="str">
        <x:v>10450932</x:v>
      </x:c>
      <x:c r="B933" t="str">
        <x:v>40870932</x:v>
      </x:c>
      <x:c r="C933" t="str">
        <x:v>2025-02-23</x:v>
      </x:c>
      <x:c r="D933" t="str">
        <x:v>2025-02-25</x:v>
      </x:c>
      <x:c r="E933" t="str">
        <x:v>2025-02-27</x:v>
      </x:c>
      <x:c r="F933" t="str">
        <x:v>U400-DEETHANIZER-500</x:v>
      </x:c>
      <x:c r="G933" t="str">
        <x:v>E-501</x:v>
      </x:c>
      <x:c r="H933" t="str">
        <x:v>deethanizer reboiler</x:v>
      </x:c>
      <x:c r="I933" t="str">
        <x:v>reboiler</x:v>
      </x:c>
      <x:c r="J933" t="str">
        <x:v>P4</x:v>
      </x:c>
      <x:c r="K933" t="str">
        <x:v>COMP</x:v>
      </x:c>
      <x:c r="L933" t="str">
        <x:v>INST</x:v>
      </x:c>
      <x:c r="M933" t="str">
        <x:v>feed_composition_shift</x:v>
      </x:c>
      <x:c r="N933" t="str">
        <x:v>circ poor</x:v>
      </x:c>
      <x:c r="O933" t="str">
        <x:v>NO_FLOW</x:v>
      </x:c>
      <x:c r="P933" t="str">
        <x:v>PLUG</x:v>
      </x:c>
      <x:c r="Q933" t="str">
        <x:v>N</x:v>
      </x:c>
      <x:c r="R933" t="str">
        <x:v>18.0</x:v>
      </x:c>
      <x:c r="S933" t="str">
        <x:v>3168.54</x:v>
      </x:c>
      <x:c r="T933" t="str">
        <x:v>E-501 circ poor chk &amp; revert</x:v>
      </x:c>
      <x:c r="U933" t="str">
        <x:v>night called for E-501 deethanizer reboiler, quality bad seen during feed composition shift. Foud circ poor; blocked inlet screen. Could not get permit first time waiting area gas test. opened strainer, cleaned black sludge. readng close to dcs after job. notif made by ops, maint attended same shift.</x:v>
      </x:c>
    </x:row>
    <x:row r="934" ht="15" hidden="0" customHeight="1">
      <x:c r="A934" t="str">
        <x:v>10450933</x:v>
      </x:c>
      <x:c r="B934" t="str">
        <x:v>40870933</x:v>
      </x:c>
      <x:c r="C934" t="str">
        <x:v>2025-02-22</x:v>
      </x:c>
      <x:c r="D934" t="str">
        <x:v>2025-02-23</x:v>
      </x:c>
      <x:c r="E934" t="str">
        <x:v>2025-02-26</x:v>
      </x:c>
      <x:c r="F934" t="str">
        <x:v>U400-DEETHANIZER-500</x:v>
      </x:c>
      <x:c r="G934" t="str">
        <x:v>PSV-501A</x:v>
      </x:c>
      <x:c r="H934" t="str">
        <x:v>column relief valve A</x:v>
      </x:c>
      <x:c r="I934" t="str">
        <x:v>relief</x:v>
      </x:c>
      <x:c r="J934" t="str">
        <x:v>P3</x:v>
      </x:c>
      <x:c r="K934" t="str">
        <x:v>TECO</x:v>
      </x:c>
      <x:c r="L934" t="str">
        <x:v>INST</x:v>
      </x:c>
      <x:c r="M934" t="str">
        <x:v>pressure_control_fault</x:v>
      </x:c>
      <x:c r="N934" t="str">
        <x:v>due to lift chk</x:v>
      </x:c>
      <x:c r="O934" t="str">
        <x:v>LIFT_EVENT</x:v>
      </x:c>
      <x:c r="P934" t="str">
        <x:v>PROCESS</x:v>
      </x:c>
      <x:c r="Q934" t="str">
        <x:v>N</x:v>
      </x:c>
      <x:c r="R934" t="str">
        <x:v>10.1</x:v>
      </x:c>
      <x:c r="S934" t="str">
        <x:v>4824.45</x:v>
      </x:c>
      <x:c r="T934" t="str">
        <x:v>PSV-501A due to lift chk again, prod upset</x:v>
      </x:c>
      <x:c r="U934" t="str">
        <x:v>days called for PSV-501A column relief valve A, pic unstable seen during press control fault. Foud due to lift chk; after press excursion. replaced positioner tubing and retuned small. readng close to dcs after job. notif made by ops, maint attended same shift.</x:v>
      </x:c>
    </x:row>
    <x:row r="935" ht="15" hidden="0" customHeight="1">
      <x:c r="A935" t="str">
        <x:v>10450934</x:v>
      </x:c>
      <x:c r="B935" t="str">
        <x:v>40870934</x:v>
      </x:c>
      <x:c r="C935" t="str">
        <x:v>2025-02-26</x:v>
      </x:c>
      <x:c r="D935" t="str">
        <x:v>2025-02-28</x:v>
      </x:c>
      <x:c r="E935" t="str">
        <x:v>2025-02-28</x:v>
      </x:c>
      <x:c r="F935" t="str">
        <x:v>U400-DEETHANIZER-500</x:v>
      </x:c>
      <x:c r="G935" t="str">
        <x:v>E-503</x:v>
      </x:c>
      <x:c r="H935" t="str">
        <x:v>feed bottoms exchanger</x:v>
      </x:c>
      <x:c r="I935" t="str">
        <x:v>exchanger</x:v>
      </x:c>
      <x:c r="J935" t="str">
        <x:v>P3</x:v>
      </x:c>
      <x:c r="K935" t="str">
        <x:v>CLSD</x:v>
      </x:c>
      <x:c r="L935" t="str">
        <x:v>MECH</x:v>
      </x:c>
      <x:c r="M935" t="str">
        <x:v>feed_temperature_ramp</x:v>
      </x:c>
      <x:c r="N935" t="str">
        <x:v>tube fouling</x:v>
      </x:c>
      <x:c r="O935" t="str">
        <x:v>FOULING</x:v>
      </x:c>
      <x:c r="P935" t="str">
        <x:v>PROCESS</x:v>
      </x:c>
      <x:c r="Q935" t="str">
        <x:v>N</x:v>
      </x:c>
      <x:c r="R935" t="str">
        <x:v>10.8</x:v>
      </x:c>
      <x:c r="S935" t="str">
        <x:v>12924.05</x:v>
      </x:c>
      <x:c r="T935" t="str">
        <x:v>E-503 tube fouling temp fix</x:v>
      </x:c>
      <x:c r="U935" t="str">
        <x:v>B shift called for E-503 feed bottoms exchanger, ovhd press moving seen during feed temperature ramp. Foud tube fouling; duty low, delta t poor. flushed impulse/sample line. temp repair only, plan shutdown job. notif made by ops, maint attended same shift.</x:v>
      </x:c>
    </x:row>
    <x:row r="936" ht="15" hidden="0" customHeight="1">
      <x:c r="A936" t="str">
        <x:v>10450935</x:v>
      </x:c>
      <x:c r="B936" t="str">
        <x:v>40870935</x:v>
      </x:c>
      <x:c r="C936" t="str">
        <x:v>2025-02-24</x:v>
      </x:c>
      <x:c r="D936" t="str">
        <x:v>2025-02-26</x:v>
      </x:c>
      <x:c r="E936" t="str">
        <x:v>2025-02-26</x:v>
      </x:c>
      <x:c r="F936" t="str">
        <x:v>U400-DEETHANIZER-500</x:v>
      </x:c>
      <x:c r="G936" t="str">
        <x:v>FT-502</x:v>
      </x:c>
      <x:c r="H936" t="str">
        <x:v>reflux flow transmitter</x:v>
      </x:c>
      <x:c r="I936" t="str">
        <x:v>instrument</x:v>
      </x:c>
      <x:c r="J936" t="str">
        <x:v>P3</x:v>
      </x:c>
      <x:c r="K936" t="str">
        <x:v>CLSD</x:v>
      </x:c>
      <x:c r="L936" t="str">
        <x:v>INST</x:v>
      </x:c>
      <x:c r="M936" t="str">
        <x:v>reflux_pump_degradation</x:v>
      </x:c>
      <x:c r="N936" t="str">
        <x:v>impulse plugged</x:v>
      </x:c>
      <x:c r="O936" t="str">
        <x:v>PLUG</x:v>
      </x:c>
      <x:c r="P936" t="str">
        <x:v>PROCESS</x:v>
      </x:c>
      <x:c r="Q936" t="str">
        <x:v>N</x:v>
      </x:c>
      <x:c r="R936" t="str">
        <x:v>11.7</x:v>
      </x:c>
      <x:c r="S936" t="str">
        <x:v>2981.91</x:v>
      </x:c>
      <x:c r="T936" t="str">
        <x:v>FT-502 min flow hot, impulse plugged</x:v>
      </x:c>
      <x:c r="U936" t="str">
        <x:v>B shift called for FT-502 reflux flow transmitter, min flow hot seen during reflux pump degradation. Foud impulse plugged; tap/line dirty. calibrated, loop chekd with CCR. need watch next feed swing. notif made by ops, maint attended same shift.</x:v>
      </x:c>
    </x:row>
    <x:row r="937" ht="15" hidden="0" customHeight="1">
      <x:c r="A937" t="str">
        <x:v>10450936</x:v>
      </x:c>
      <x:c r="B937" t="str">
        <x:v>40870936</x:v>
      </x:c>
      <x:c r="C937" t="str">
        <x:v>2025-02-27</x:v>
      </x:c>
      <x:c r="D937" t="str">
        <x:v>2025-02-28</x:v>
      </x:c>
      <x:c r="E937" t="str">
        <x:v>2025-03-01</x:v>
      </x:c>
      <x:c r="F937" t="str">
        <x:v>U400-DEETHANIZER-500</x:v>
      </x:c>
      <x:c r="G937" t="str">
        <x:v>TV-502</x:v>
      </x:c>
      <x:c r="H937" t="str">
        <x:v>condenser cooling valve</x:v>
      </x:c>
      <x:c r="I937" t="str">
        <x:v>control_valve</x:v>
      </x:c>
      <x:c r="J937" t="str">
        <x:v>P3</x:v>
      </x:c>
      <x:c r="K937" t="str">
        <x:v>CLSD</x:v>
      </x:c>
      <x:c r="L937" t="str">
        <x:v>OPS+INST</x:v>
      </x:c>
      <x:c r="M937" t="str">
        <x:v>condenser_fouling</x:v>
      </x:c>
      <x:c r="N937" t="str">
        <x:v>passing</x:v>
      </x:c>
      <x:c r="O937" t="str">
        <x:v>LEAK_BY</x:v>
      </x:c>
      <x:c r="P937" t="str">
        <x:v>SEAT</x:v>
      </x:c>
      <x:c r="Q937" t="str">
        <x:v>N</x:v>
      </x:c>
      <x:c r="R937" t="str">
        <x:v>1.5</x:v>
      </x:c>
      <x:c r="S937" t="str">
        <x:v>4686.91</x:v>
      </x:c>
      <x:c r="T937" t="str">
        <x:v>TV-502 high ovhd press, passing</x:v>
      </x:c>
      <x:c r="U937" t="str">
        <x:v>A shift called for TV-502 condenser cooling valve, pic wide open seen during condenser fouling. Foud passing; seat leak by. Tag plate dirty, confirmd by line up with panel. tightened fittings, leak test ok. no leak at handover. notif made by ops, maint attended same shift.</x:v>
      </x:c>
    </x:row>
    <x:row r="938" ht="15" hidden="0" customHeight="1">
      <x:c r="A938" t="str">
        <x:v>10450937</x:v>
      </x:c>
      <x:c r="B938" t="str">
        <x:v>40870937</x:v>
      </x:c>
      <x:c r="C938" t="str">
        <x:v>2025-02-28</x:v>
      </x:c>
      <x:c r="D938" t="str">
        <x:v>2025-02-28</x:v>
      </x:c>
      <x:c r="E938" t="str">
        <x:v>2025-02-28</x:v>
      </x:c>
      <x:c r="F938" t="str">
        <x:v>U400-DEETHANIZER-500</x:v>
      </x:c>
      <x:c r="G938" t="str">
        <x:v>E-503</x:v>
      </x:c>
      <x:c r="H938" t="str">
        <x:v>feed bottoms exchanger</x:v>
      </x:c>
      <x:c r="I938" t="str">
        <x:v>exchanger</x:v>
      </x:c>
      <x:c r="J938" t="str">
        <x:v>P4</x:v>
      </x:c>
      <x:c r="K938" t="str">
        <x:v>COMP</x:v>
      </x:c>
      <x:c r="L938" t="str">
        <x:v>MECH</x:v>
      </x:c>
      <x:c r="M938" t="str">
        <x:v>feed_flow_step</x:v>
      </x:c>
      <x:c r="N938" t="str">
        <x:v>temp approach bad</x:v>
      </x:c>
      <x:c r="O938" t="str">
        <x:v>PERF</x:v>
      </x:c>
      <x:c r="P938" t="str">
        <x:v>FOUL</x:v>
      </x:c>
      <x:c r="Q938" t="str">
        <x:v>N</x:v>
      </x:c>
      <x:c r="R938" t="str">
        <x:v>17.5</x:v>
      </x:c>
      <x:c r="S938" t="str">
        <x:v>4145.11</x:v>
      </x:c>
      <x:c r="T938" t="str">
        <x:v>E-503 c2 recov down, temp approach bad</x:v>
      </x:c>
      <x:c r="U938" t="str">
        <x:v>A shift called for E-503 feed bottoms exchanger, fic hunting seen during feed flow step. Foud temp approach bad; heat transfer loss. Line was hot so job done slow and with ops standing by. replaced positioner tubing and retuned small. unit stable now. notif made by ops, maint attended same shift.</x:v>
      </x:c>
    </x:row>
    <x:row r="939" ht="15" hidden="0" customHeight="1">
      <x:c r="A939" t="str">
        <x:v>10450938</x:v>
      </x:c>
      <x:c r="B939" t="str">
        <x:v>40870938</x:v>
      </x:c>
      <x:c r="C939" t="str">
        <x:v>2025-03-02</x:v>
      </x:c>
      <x:c r="D939" t="str">
        <x:v>2025-03-02</x:v>
      </x:c>
      <x:c r="E939" t="str">
        <x:v>2025-03-02</x:v>
      </x:c>
      <x:c r="F939" t="str">
        <x:v>U400-DEETHANIZER-500</x:v>
      </x:c>
      <x:c r="G939" t="str">
        <x:v>E-502</x:v>
      </x:c>
      <x:c r="H939" t="str">
        <x:v>deethanizer overhead condenser</x:v>
      </x:c>
      <x:c r="I939" t="str">
        <x:v>condenser</x:v>
      </x:c>
      <x:c r="J939" t="str">
        <x:v>P4</x:v>
      </x:c>
      <x:c r="K939" t="str">
        <x:v>CLSD</x:v>
      </x:c>
      <x:c r="L939" t="str">
        <x:v>OPS+INST</x:v>
      </x:c>
      <x:c r="M939" t="str">
        <x:v>valve_stiction</x:v>
      </x:c>
      <x:c r="N939" t="str">
        <x:v>cw fouling</x:v>
      </x:c>
      <x:c r="O939" t="str">
        <x:v>FOULING</x:v>
      </x:c>
      <x:c r="P939" t="str">
        <x:v>UTILITY</x:v>
      </x:c>
      <x:c r="Q939" t="str">
        <x:v>N</x:v>
      </x:c>
      <x:c r="R939" t="str">
        <x:v>7.6</x:v>
      </x:c>
      <x:c r="S939" t="str">
        <x:v>8941.04</x:v>
      </x:c>
      <x:c r="T939" t="str">
        <x:v>chk E-502 - cw fouling frm ops</x:v>
      </x:c>
      <x:c r="U939" t="str">
        <x:v>days called for E-502 deethanizer overhead condenser, position bad seen during valve stiction. Foud cw fouling; cw side scaled. flushed impulse/sample line. no leak at handover. notif made by ops, maint attended same shift.</x:v>
      </x:c>
    </x:row>
    <x:row r="940" ht="15" hidden="0" customHeight="1">
      <x:c r="A940" t="str">
        <x:v>10450939</x:v>
      </x:c>
      <x:c r="B940" t="str">
        <x:v>40870939</x:v>
      </x:c>
      <x:c r="C940" t="str">
        <x:v>2025-03-05</x:v>
      </x:c>
      <x:c r="D940" t="str">
        <x:v>2025-03-07</x:v>
      </x:c>
      <x:c r="E940" t="str">
        <x:v>2025-03-09</x:v>
      </x:c>
      <x:c r="F940" t="str">
        <x:v>U400-DEETHANIZER-500</x:v>
      </x:c>
      <x:c r="G940" t="str">
        <x:v>AIT-501</x:v>
      </x:c>
      <x:c r="H940" t="str">
        <x:v>overhead C2 analyzer</x:v>
      </x:c>
      <x:c r="I940" t="str">
        <x:v>analyzer</x:v>
      </x:c>
      <x:c r="J940" t="str">
        <x:v>P3</x:v>
      </x:c>
      <x:c r="K940" t="str">
        <x:v>TECO</x:v>
      </x:c>
      <x:c r="L940" t="str">
        <x:v>INST</x:v>
      </x:c>
      <x:c r="M940" t="str">
        <x:v>feed_composition_shift</x:v>
      </x:c>
      <x:c r="N940" t="str">
        <x:v>anlyzr drift</x:v>
      </x:c>
      <x:c r="O940" t="str">
        <x:v>DRIFT</x:v>
      </x:c>
      <x:c r="P940" t="str">
        <x:v>CAL_GAS</x:v>
      </x:c>
      <x:c r="Q940" t="str">
        <x:v>N</x:v>
      </x:c>
      <x:c r="R940" t="str">
        <x:v>1.9</x:v>
      </x:c>
      <x:c r="S940" t="str">
        <x:v>1096.93</x:v>
      </x:c>
      <x:c r="T940" t="str">
        <x:v>AIT-501 anlyzr drift bad</x:v>
      </x:c>
      <x:c r="U940" t="str">
        <x:v>B shift called for AIT-501 overhead C2 analyzer, btm heavy seen during feed composition shift. Foud anlyzr drift; cal gas failed. Could not get permit first time waiting area gas test. flushed impulse/sample line. readng close to dcs after job. notif made by ops, maint attended same shift.</x:v>
      </x:c>
    </x:row>
    <x:row r="941" ht="15" hidden="0" customHeight="1">
      <x:c r="A941" t="str">
        <x:v>10450940</x:v>
      </x:c>
      <x:c r="B941" t="str">
        <x:v>40870940</x:v>
      </x:c>
      <x:c r="C941" t="str">
        <x:v>2025-03-02</x:v>
      </x:c>
      <x:c r="D941" t="str">
        <x:v>2025-03-04</x:v>
      </x:c>
      <x:c r="E941" t="str">
        <x:v>2025-03-11</x:v>
      </x:c>
      <x:c r="F941" t="str">
        <x:v>U400-DEETHANIZER-500</x:v>
      </x:c>
      <x:c r="G941" t="str">
        <x:v>T-501</x:v>
      </x:c>
      <x:c r="H941" t="str">
        <x:v>deethanizer column</x:v>
      </x:c>
      <x:c r="I941" t="str">
        <x:v>column</x:v>
      </x:c>
      <x:c r="J941" t="str">
        <x:v>P2</x:v>
      </x:c>
      <x:c r="K941" t="str">
        <x:v>COMP</x:v>
      </x:c>
      <x:c r="L941" t="str">
        <x:v>ROT</x:v>
      </x:c>
      <x:c r="M941" t="str">
        <x:v>normal_wear</x:v>
      </x:c>
      <x:c r="N941" t="str">
        <x:v>tray temp bad</x:v>
      </x:c>
      <x:c r="O941" t="str">
        <x:v>TEMP_DEV</x:v>
      </x:c>
      <x:c r="P941" t="str">
        <x:v>PROCESS</x:v>
      </x:c>
      <x:c r="Q941" t="str">
        <x:v>N</x:v>
      </x:c>
      <x:c r="R941" t="str">
        <x:v>12.3</x:v>
      </x:c>
      <x:c r="S941" t="str">
        <x:v>5.71</x:v>
      </x:c>
      <x:c r="T941" t="str">
        <x:v>T-501 tray temp bad bad</x:v>
      </x:c>
      <x:c r="U941" t="str">
        <x:v>B shift called for T-501 deethanizer column, pm found defect seen during normal wear. Foud tray temp bad; profile not normal. History shows same complain last mnth. tightened fittings, leak test ok. temp repair only, plan shutdown job. notif made by ops, maint attended same shift.</x:v>
      </x:c>
    </x:row>
    <x:row r="942" ht="15" hidden="0" customHeight="1">
      <x:c r="A942" t="str">
        <x:v>10450941</x:v>
      </x:c>
      <x:c r="B942" t="str">
        <x:v>40870941</x:v>
      </x:c>
      <x:c r="C942" t="str">
        <x:v>2025-03-08</x:v>
      </x:c>
      <x:c r="D942" t="str">
        <x:v>2025-03-09</x:v>
      </x:c>
      <x:c r="E942" t="str">
        <x:v>2025-03-10</x:v>
      </x:c>
      <x:c r="F942" t="str">
        <x:v>U400-DEETHANIZER-500</x:v>
      </x:c>
      <x:c r="G942" t="str">
        <x:v>P-501B</x:v>
      </x:c>
      <x:c r="H942" t="str">
        <x:v>reflux pump B</x:v>
      </x:c>
      <x:c r="I942" t="str">
        <x:v>pump</x:v>
      </x:c>
      <x:c r="J942" t="str">
        <x:v>P1</x:v>
      </x:c>
      <x:c r="K942" t="str">
        <x:v>TECO</x:v>
      </x:c>
      <x:c r="L942" t="str">
        <x:v>OPS+INST</x:v>
      </x:c>
      <x:c r="M942" t="str">
        <x:v>reflux_pump_degradation</x:v>
      </x:c>
      <x:c r="N942" t="str">
        <x:v>seal leak</x:v>
      </x:c>
      <x:c r="O942" t="str">
        <x:v>MECH_SEAL</x:v>
      </x:c>
      <x:c r="P942" t="str">
        <x:v>SEAL</x:v>
      </x:c>
      <x:c r="Q942" t="str">
        <x:v>Y</x:v>
      </x:c>
      <x:c r="R942" t="str">
        <x:v>23.2</x:v>
      </x:c>
      <x:c r="S942" t="str">
        <x:v>153.11</x:v>
      </x:c>
      <x:c r="T942" t="str">
        <x:v>P-501B not ok after reflux pump degradation</x:v>
      </x:c>
      <x:c r="U942" t="str">
        <x:v>night called for P-501B reflux pump B, disch press low seen during reflux pump degradation. Foud seal leak; seal face worn / dry run signs. Line was hot so job done slow and with ops standing by. flushed impulse/sample line. readng close to dcs after job. notif made by ops, maint attended same shift.</x:v>
      </x:c>
    </x:row>
    <x:row r="943" ht="15" hidden="0" customHeight="1">
      <x:c r="A943" t="str">
        <x:v>10450942</x:v>
      </x:c>
      <x:c r="B943" t="str">
        <x:v>40870942</x:v>
      </x:c>
      <x:c r="C943" t="str">
        <x:v>2025-03-08</x:v>
      </x:c>
      <x:c r="D943" t="str">
        <x:v>2025-03-08</x:v>
      </x:c>
      <x:c r="E943" t="str">
        <x:v>2025-03-09</x:v>
      </x:c>
      <x:c r="F943" t="str">
        <x:v>U400-DEETHANIZER-500</x:v>
      </x:c>
      <x:c r="G943" t="str">
        <x:v>TT-501B</x:v>
      </x:c>
      <x:c r="H943" t="str">
        <x:v>sensitive tray temperature tx</x:v>
      </x:c>
      <x:c r="I943" t="str">
        <x:v>instrument</x:v>
      </x:c>
      <x:c r="J943" t="str">
        <x:v>P3</x:v>
      </x:c>
      <x:c r="K943" t="str">
        <x:v>CLSD</x:v>
      </x:c>
      <x:c r="L943" t="str">
        <x:v>E&amp;I</x:v>
      </x:c>
      <x:c r="M943" t="str">
        <x:v>feed_temperature_ramp</x:v>
      </x:c>
      <x:c r="N943" t="str">
        <x:v>bad reading</x:v>
      </x:c>
      <x:c r="O943" t="str">
        <x:v>DRIFT</x:v>
      </x:c>
      <x:c r="P943" t="str">
        <x:v>CAL</x:v>
      </x:c>
      <x:c r="Q943" t="str">
        <x:v>N</x:v>
      </x:c>
      <x:c r="R943" t="str">
        <x:v>5.6</x:v>
      </x:c>
      <x:c r="S943" t="str">
        <x:v>215.79</x:v>
      </x:c>
      <x:c r="T943" t="str">
        <x:v>TT-501B bad reading again</x:v>
      </x:c>
      <x:c r="U943" t="str">
        <x:v>B shift called for TT-501B sensitive tray temperature tx, tray temp drift seen during feed temperature ramp. Foud bad reading; needs calib. Tag plate dirty, confirmd by line up with panel. calibrated, loop checked with CCR. readng close to dcs after job. notif made by ops, maint attended same shift.</x:v>
      </x:c>
    </x:row>
    <x:row r="944" ht="15" hidden="0" customHeight="1">
      <x:c r="A944" t="str">
        <x:v>10450943</x:v>
      </x:c>
      <x:c r="B944" t="str">
        <x:v>40870943</x:v>
      </x:c>
      <x:c r="C944" t="str">
        <x:v>2025-03-11</x:v>
      </x:c>
      <x:c r="D944" t="str">
        <x:v>2025-03-11</x:v>
      </x:c>
      <x:c r="E944" t="str">
        <x:v>2025-03-13</x:v>
      </x:c>
      <x:c r="F944" t="str">
        <x:v>U400-DEETHANIZER-500</x:v>
      </x:c>
      <x:c r="G944" t="str">
        <x:v>TT-501B</x:v>
      </x:c>
      <x:c r="H944" t="str">
        <x:v>sensitive tray temperature tx</x:v>
      </x:c>
      <x:c r="I944" t="str">
        <x:v>instrument</x:v>
      </x:c>
      <x:c r="J944" t="str">
        <x:v>P3</x:v>
      </x:c>
      <x:c r="K944" t="str">
        <x:v>CLSD</x:v>
      </x:c>
      <x:c r="L944" t="str">
        <x:v>INST</x:v>
      </x:c>
      <x:c r="M944" t="str">
        <x:v>reflux_pump_degradation</x:v>
      </x:c>
      <x:c r="N944" t="str">
        <x:v>bad reading</x:v>
      </x:c>
      <x:c r="O944" t="str">
        <x:v>DRIFT</x:v>
      </x:c>
      <x:c r="P944" t="str">
        <x:v>CAL</x:v>
      </x:c>
      <x:c r="Q944" t="str">
        <x:v>N</x:v>
      </x:c>
      <x:c r="R944" t="str">
        <x:v>6.8</x:v>
      </x:c>
      <x:c r="S944" t="str">
        <x:v>3090.92</x:v>
      </x:c>
      <x:c r="T944" t="str">
        <x:v>TT-501B not ok after reflux pump degradation</x:v>
      </x:c>
      <x:c r="U944" t="str">
        <x:v>days called for TT-501B sensitive tray temperature tx, pump vib seen during reflux pump degradation. Foud bad reading; needs calib. flushed impulse/sample line. readng close to dcs after job. notif made by ops, maint attended same shift.</x:v>
      </x:c>
    </x:row>
    <x:row r="945" ht="15" hidden="0" customHeight="1">
      <x:c r="A945" t="str">
        <x:v>10450944</x:v>
      </x:c>
      <x:c r="B945" t="str">
        <x:v>40870944</x:v>
      </x:c>
      <x:c r="C945" t="str">
        <x:v>2025-03-11</x:v>
      </x:c>
      <x:c r="D945" t="str">
        <x:v>2025-03-12</x:v>
      </x:c>
      <x:c r="E945" t="str">
        <x:v>2025-03-15</x:v>
      </x:c>
      <x:c r="F945" t="str">
        <x:v>U400-DEETHANIZER-500</x:v>
      </x:c>
      <x:c r="G945" t="str">
        <x:v>T-501</x:v>
      </x:c>
      <x:c r="H945" t="str">
        <x:v>deethanizer column</x:v>
      </x:c>
      <x:c r="I945" t="str">
        <x:v>column</x:v>
      </x:c>
      <x:c r="J945" t="str">
        <x:v>P3</x:v>
      </x:c>
      <x:c r="K945" t="str">
        <x:v>CLSD</x:v>
      </x:c>
      <x:c r="L945" t="str">
        <x:v>VALVE</x:v>
      </x:c>
      <x:c r="M945" t="str">
        <x:v>feed_flow_step</x:v>
      </x:c>
      <x:c r="N945" t="str">
        <x:v>weeping flange</x:v>
      </x:c>
      <x:c r="O945" t="str">
        <x:v>LEAK</x:v>
      </x:c>
      <x:c r="P945" t="str">
        <x:v>GASKET</x:v>
      </x:c>
      <x:c r="Q945" t="str">
        <x:v>N</x:v>
      </x:c>
      <x:c r="R945" t="str">
        <x:v>5.1</x:v>
      </x:c>
      <x:c r="S945" t="str">
        <x:v>3042.67</x:v>
      </x:c>
      <x:c r="T945" t="str">
        <x:v>T-501 column dp high, weeping flange</x:v>
      </x:c>
      <x:c r="U945" t="str">
        <x:v>days called for T-501 deethanizer column, lvl swing seen during feed flow step. Foud weeping flange; manway/flange seep. No spare in store at first, used refurb one from shop. opened strainer, cleaned black sludge. unit stable now. notif made by ops, maint attended same shift.</x:v>
      </x:c>
    </x:row>
    <x:row r="946" ht="15" hidden="0" customHeight="1">
      <x:c r="A946" t="str">
        <x:v>10450945</x:v>
      </x:c>
      <x:c r="B946" t="str">
        <x:v>40870945</x:v>
      </x:c>
      <x:c r="C946" t="str">
        <x:v>2025-03-12</x:v>
      </x:c>
      <x:c r="D946" t="str">
        <x:v>2025-03-14</x:v>
      </x:c>
      <x:c r="E946" t="str">
        <x:v>2025-03-16</x:v>
      </x:c>
      <x:c r="F946" t="str">
        <x:v>U400-DEETHANIZER-500</x:v>
      </x:c>
      <x:c r="G946" t="str">
        <x:v>P-501B</x:v>
      </x:c>
      <x:c r="H946" t="str">
        <x:v>reflux pump B</x:v>
      </x:c>
      <x:c r="I946" t="str">
        <x:v>pump</x:v>
      </x:c>
      <x:c r="J946" t="str">
        <x:v>P2</x:v>
      </x:c>
      <x:c r="K946" t="str">
        <x:v>TECO</x:v>
      </x:c>
      <x:c r="L946" t="str">
        <x:v>OPS+INST</x:v>
      </x:c>
      <x:c r="M946" t="str">
        <x:v>feed_flow_step</x:v>
      </x:c>
      <x:c r="N946" t="str">
        <x:v>bearing hot</x:v>
      </x:c>
      <x:c r="O946" t="str">
        <x:v>BRG</x:v>
      </x:c>
      <x:c r="P946" t="str">
        <x:v>WEAR</x:v>
      </x:c>
      <x:c r="Q946" t="str">
        <x:v>N</x:v>
      </x:c>
      <x:c r="R946" t="str">
        <x:v>13.4</x:v>
      </x:c>
      <x:c r="S946" t="str">
        <x:v>7853.81</x:v>
      </x:c>
      <x:c r="T946" t="str">
        <x:v>P-501B bearing hot again, prod upset</x:v>
      </x:c>
      <x:c r="U946" t="str">
        <x:v>days called for P-501B reflux pump B, lvl swing seen during feed flow step. Foud bearing hot; brg rough, lube dark. No spare in store at first, used refurb one from shop. reset trip and monitored for 2 hrs. need watch next feed swing. notif made by ops, maint attended same shift.</x:v>
      </x:c>
    </x:row>
    <x:row r="947" ht="15" hidden="0" customHeight="1">
      <x:c r="A947" t="str">
        <x:v>10450946</x:v>
      </x:c>
      <x:c r="B947" t="str">
        <x:v>40870946</x:v>
      </x:c>
      <x:c r="C947" t="str">
        <x:v>2025-03-12</x:v>
      </x:c>
      <x:c r="D947" t="str">
        <x:v>2025-03-12</x:v>
      </x:c>
      <x:c r="E947" t="str">
        <x:v>2025-03-13</x:v>
      </x:c>
      <x:c r="F947" t="str">
        <x:v>U400-DEETHANIZER-500</x:v>
      </x:c>
      <x:c r="G947" t="str">
        <x:v>AIT-502</x:v>
      </x:c>
      <x:c r="H947" t="str">
        <x:v>bottoms C3+ analyzer</x:v>
      </x:c>
      <x:c r="I947" t="str">
        <x:v>analyzer</x:v>
      </x:c>
      <x:c r="J947" t="str">
        <x:v>P3</x:v>
      </x:c>
      <x:c r="K947" t="str">
        <x:v>COMP</x:v>
      </x:c>
      <x:c r="L947" t="str">
        <x:v>E&amp;I</x:v>
      </x:c>
      <x:c r="M947" t="str">
        <x:v>feed_composition_shift</x:v>
      </x:c>
      <x:c r="N947" t="str">
        <x:v>anlyzr drift</x:v>
      </x:c>
      <x:c r="O947" t="str">
        <x:v>DRIFT</x:v>
      </x:c>
      <x:c r="P947" t="str">
        <x:v>CAL_GAS</x:v>
      </x:c>
      <x:c r="Q947" t="str">
        <x:v>N</x:v>
      </x:c>
      <x:c r="R947" t="str">
        <x:v>17.8</x:v>
      </x:c>
      <x:c r="S947" t="str">
        <x:v>5089.16</x:v>
      </x:c>
      <x:c r="T947" t="str">
        <x:v>AIT-502 anlyzr drift again, prod upset</x:v>
      </x:c>
      <x:c r="U947" t="str">
        <x:v>A shift called for AIT-502 bottoms C3+ analyzer, btm heavy seen during feed composition shift. Foud anlyzr drift; cal gas failed. calibrated, loop checked with CCR. ops says ok for now. notif made by ops, maint attended same shift.</x:v>
      </x:c>
    </x:row>
    <x:row r="948" ht="15" hidden="0" customHeight="1">
      <x:c r="A948" t="str">
        <x:v>10450947</x:v>
      </x:c>
      <x:c r="B948" t="str">
        <x:v>40870947</x:v>
      </x:c>
      <x:c r="C948" t="str">
        <x:v>2025-03-17</x:v>
      </x:c>
      <x:c r="D948" t="str">
        <x:v>2025-03-18</x:v>
      </x:c>
      <x:c r="E948" t="str">
        <x:v>2025-03-19</x:v>
      </x:c>
      <x:c r="F948" t="str">
        <x:v>U400-DEETHANIZER-500</x:v>
      </x:c>
      <x:c r="G948" t="str">
        <x:v>TT-503</x:v>
      </x:c>
      <x:c r="H948" t="str">
        <x:v>reboiler outlet temperature tx</x:v>
      </x:c>
      <x:c r="I948" t="str">
        <x:v>instrument</x:v>
      </x:c>
      <x:c r="J948" t="str">
        <x:v>P3</x:v>
      </x:c>
      <x:c r="K948" t="str">
        <x:v>COMP</x:v>
      </x:c>
      <x:c r="L948" t="str">
        <x:v>ANLYZR</x:v>
      </x:c>
      <x:c r="M948" t="str">
        <x:v>reboiler_duty_loss</x:v>
      </x:c>
      <x:c r="N948" t="str">
        <x:v>impulse plugged</x:v>
      </x:c>
      <x:c r="O948" t="str">
        <x:v>PLUG</x:v>
      </x:c>
      <x:c r="P948" t="str">
        <x:v>PROCESS</x:v>
      </x:c>
      <x:c r="Q948" t="str">
        <x:v>N</x:v>
      </x:c>
      <x:c r="R948" t="str">
        <x:v>13.8</x:v>
      </x:c>
      <x:c r="S948" t="str">
        <x:v>5177.57</x:v>
      </x:c>
      <x:c r="T948" t="str">
        <x:v>TT-503 steam/hm valve no resp, impulse plugged</x:v>
      </x:c>
      <x:c r="U948" t="str">
        <x:v>B shift called for TT-503 reboiler outlet temperature tx, tray temp low seen during reboiler duty loss. Foud impulse plugged; tap/line dirty. replaced positioner tubing and retuned small. need watch next feed swing. notif made by ops, maint attended same shift.</x:v>
      </x:c>
    </x:row>
    <x:row r="949" ht="15" hidden="0" customHeight="1">
      <x:c r="A949" t="str">
        <x:v>10450948</x:v>
      </x:c>
      <x:c r="B949" t="str">
        <x:v>40870948</x:v>
      </x:c>
      <x:c r="C949" t="str">
        <x:v>2025-03-18</x:v>
      </x:c>
      <x:c r="D949" t="str">
        <x:v>2025-03-18</x:v>
      </x:c>
      <x:c r="E949" t="str">
        <x:v>2025-03-18</x:v>
      </x:c>
      <x:c r="F949" t="str">
        <x:v>U400-DEETHANIZER-500</x:v>
      </x:c>
      <x:c r="G949" t="str">
        <x:v>FT-502</x:v>
      </x:c>
      <x:c r="H949" t="str">
        <x:v>reflux flow transmitter</x:v>
      </x:c>
      <x:c r="I949" t="str">
        <x:v>instrument</x:v>
      </x:c>
      <x:c r="J949" t="str">
        <x:v>P4</x:v>
      </x:c>
      <x:c r="K949" t="str">
        <x:v>COMP</x:v>
      </x:c>
      <x:c r="L949" t="str">
        <x:v>E&amp;I</x:v>
      </x:c>
      <x:c r="M949" t="str">
        <x:v>reflux_pump_degradation</x:v>
      </x:c>
      <x:c r="N949" t="str">
        <x:v>bad reading</x:v>
      </x:c>
      <x:c r="O949" t="str">
        <x:v>DRIFT</x:v>
      </x:c>
      <x:c r="P949" t="str">
        <x:v>CAL</x:v>
      </x:c>
      <x:c r="Q949" t="str">
        <x:v>N</x:v>
      </x:c>
      <x:c r="R949" t="str">
        <x:v>6.2</x:v>
      </x:c>
      <x:c r="S949" t="str">
        <x:v>3360.38</x:v>
      </x:c>
      <x:c r="T949" t="str">
        <x:v>FT-502 bad reading again, prod upset</x:v>
      </x:c>
      <x:c r="U949" t="str">
        <x:v>C shift called for FT-502 reflux flow transmitter, disch press low seen during reflux pump degradation. Foud bad reading; needs calib. No spare in store at first, used refurb one from shop. cleaned and put back online. readng close to dcs after job. notif made by ops, maint attended same shift.</x:v>
      </x:c>
    </x:row>
    <x:row r="950" ht="15" hidden="0" customHeight="1">
      <x:c r="A950" t="str">
        <x:v>10450949</x:v>
      </x:c>
      <x:c r="B950" t="str">
        <x:v>40870949</x:v>
      </x:c>
      <x:c r="C950" t="str">
        <x:v>2025-03-16</x:v>
      </x:c>
      <x:c r="D950" t="str">
        <x:v>2025-03-17</x:v>
      </x:c>
      <x:c r="E950" t="str">
        <x:v>2025-03-18</x:v>
      </x:c>
      <x:c r="F950" t="str">
        <x:v>U400-DEETHANIZER-500</x:v>
      </x:c>
      <x:c r="G950" t="str">
        <x:v>E-502</x:v>
      </x:c>
      <x:c r="H950" t="str">
        <x:v>deethanizer overhead condenser</x:v>
      </x:c>
      <x:c r="I950" t="str">
        <x:v>condenser</x:v>
      </x:c>
      <x:c r="J950" t="str">
        <x:v>P4</x:v>
      </x:c>
      <x:c r="K950" t="str">
        <x:v>CLSD</x:v>
      </x:c>
      <x:c r="L950" t="str">
        <x:v>ROT</x:v>
      </x:c>
      <x:c r="M950" t="str">
        <x:v>condenser_fouling</x:v>
      </x:c>
      <x:c r="N950" t="str">
        <x:v>cw fouling</x:v>
      </x:c>
      <x:c r="O950" t="str">
        <x:v>FOULING</x:v>
      </x:c>
      <x:c r="P950" t="str">
        <x:v>UTILITY</x:v>
      </x:c>
      <x:c r="Q950" t="str">
        <x:v>N</x:v>
      </x:c>
      <x:c r="R950" t="str">
        <x:v>11.7</x:v>
      </x:c>
      <x:c r="S950" t="str">
        <x:v>6485.29</x:v>
      </x:c>
      <x:c r="T950" t="str">
        <x:v>E-502 not ok after condenser fouling</x:v>
      </x:c>
      <x:c r="U950" t="str">
        <x:v>C shift called for E-502 deethanizer overhead condenser, cond not pullng seen during condenser fouling. Foud cw fouling; cw side scaled. No spare in store at first, used refurb one from shop. stroke tested, response better. need watch next feed swing. notif made by ops, maint attended same shift.</x:v>
      </x:c>
    </x:row>
    <x:row r="951" ht="15" hidden="0" customHeight="1">
      <x:c r="A951" t="str">
        <x:v>10450950</x:v>
      </x:c>
      <x:c r="B951" t="str">
        <x:v>40870950</x:v>
      </x:c>
      <x:c r="C951" t="str">
        <x:v>2025-03-17</x:v>
      </x:c>
      <x:c r="D951" t="str">
        <x:v>2025-03-17</x:v>
      </x:c>
      <x:c r="E951" t="str">
        <x:v>2025-03-20</x:v>
      </x:c>
      <x:c r="F951" t="str">
        <x:v>U400-DEETHANIZER-500</x:v>
      </x:c>
      <x:c r="G951" t="str">
        <x:v>FV-502</x:v>
      </x:c>
      <x:c r="H951" t="str">
        <x:v>reflux flow control valve</x:v>
      </x:c>
      <x:c r="I951" t="str">
        <x:v>control_valve</x:v>
      </x:c>
      <x:c r="J951" t="str">
        <x:v>P3</x:v>
      </x:c>
      <x:c r="K951" t="str">
        <x:v>TECO</x:v>
      </x:c>
      <x:c r="L951" t="str">
        <x:v>ANLYZR</x:v>
      </x:c>
      <x:c r="M951" t="str">
        <x:v>valve_stiction</x:v>
      </x:c>
      <x:c r="N951" t="str">
        <x:v>stiction</x:v>
      </x:c>
      <x:c r="O951" t="str">
        <x:v>STICK</x:v>
      </x:c>
      <x:c r="P951" t="str">
        <x:v>PACKING</x:v>
      </x:c>
      <x:c r="Q951" t="str">
        <x:v>N</x:v>
      </x:c>
      <x:c r="R951" t="str">
        <x:v>13.0</x:v>
      </x:c>
      <x:c r="S951" t="str">
        <x:v>2011.46</x:v>
      </x:c>
      <x:c r="T951" t="str">
        <x:v>chk FV-502 - stiction frm ops</x:v>
      </x:c>
      <x:c r="U951" t="str">
        <x:v>C shift called for FV-502 reflux flow control valve, op jumps seen during valve stiction. Foud stiction; stem sticky and pos err. History shows same complain last mnth. tightened fittings, leak test ok. still little hunting but acceptable. notif made by ops, maint attended same shift.</x:v>
      </x:c>
    </x:row>
    <x:row r="952" ht="15" hidden="0" customHeight="1">
      <x:c r="A952" t="str">
        <x:v>10450951</x:v>
      </x:c>
      <x:c r="B952" t="str">
        <x:v>40870951</x:v>
      </x:c>
      <x:c r="C952" t="str">
        <x:v>2025-03-23</x:v>
      </x:c>
      <x:c r="D952" t="str">
        <x:v>2025-03-24</x:v>
      </x:c>
      <x:c r="E952" t="str">
        <x:v>2025-03-26</x:v>
      </x:c>
      <x:c r="F952" t="str">
        <x:v>U400-DEETHANIZER-500</x:v>
      </x:c>
      <x:c r="G952" t="str">
        <x:v>TT-501B</x:v>
      </x:c>
      <x:c r="H952" t="str">
        <x:v>sensitive tray temperature tx</x:v>
      </x:c>
      <x:c r="I952" t="str">
        <x:v>instrument</x:v>
      </x:c>
      <x:c r="J952" t="str">
        <x:v>P4</x:v>
      </x:c>
      <x:c r="K952" t="str">
        <x:v>COMP</x:v>
      </x:c>
      <x:c r="L952" t="str">
        <x:v>E&amp;I</x:v>
      </x:c>
      <x:c r="M952" t="str">
        <x:v>reboiler_duty_loss</x:v>
      </x:c>
      <x:c r="N952" t="str">
        <x:v>loose wire</x:v>
      </x:c>
      <x:c r="O952" t="str">
        <x:v>SIGNAL</x:v>
      </x:c>
      <x:c r="P952" t="str">
        <x:v>ELEC</x:v>
      </x:c>
      <x:c r="Q952" t="str">
        <x:v>N</x:v>
      </x:c>
      <x:c r="R952" t="str">
        <x:v>17.4</x:v>
      </x:c>
      <x:c r="S952" t="str">
        <x:v>2580.84</x:v>
      </x:c>
      <x:c r="T952" t="str">
        <x:v>TT-501B c2 in btm, loose wire</x:v>
      </x:c>
      <x:c r="U952" t="str">
        <x:v>A shift called for TT-501B sensitive tray temperature tx, low heat seen during reboiler duty loss. Foud loose wire; term loose. Tag plate dirty, confirmd by line up with panel. cleaned and put back online. readng close to dcs after job. notif made by ops, maint attended same shift.</x:v>
      </x:c>
    </x:row>
    <x:row r="953" ht="15" hidden="0" customHeight="1">
      <x:c r="A953" t="str">
        <x:v>10450952</x:v>
      </x:c>
      <x:c r="B953" t="str">
        <x:v>40870952</x:v>
      </x:c>
      <x:c r="C953" t="str">
        <x:v>2025-03-21</x:v>
      </x:c>
      <x:c r="D953" t="str">
        <x:v>2025-03-23</x:v>
      </x:c>
      <x:c r="E953" t="str">
        <x:v>2025-03-24</x:v>
      </x:c>
      <x:c r="F953" t="str">
        <x:v>U400-DEETHANIZER-500</x:v>
      </x:c>
      <x:c r="G953" t="str">
        <x:v>P-501A</x:v>
      </x:c>
      <x:c r="H953" t="str">
        <x:v>reflux pump A</x:v>
      </x:c>
      <x:c r="I953" t="str">
        <x:v>pump</x:v>
      </x:c>
      <x:c r="J953" t="str">
        <x:v>P3</x:v>
      </x:c>
      <x:c r="K953" t="str">
        <x:v>TECO</x:v>
      </x:c>
      <x:c r="L953" t="str">
        <x:v>VALVE</x:v>
      </x:c>
      <x:c r="M953" t="str">
        <x:v>normal_wear</x:v>
      </x:c>
      <x:c r="N953" t="str">
        <x:v>vib high</x:v>
      </x:c>
      <x:c r="O953" t="str">
        <x:v>VIB</x:v>
      </x:c>
      <x:c r="P953" t="str">
        <x:v>ALIGN</x:v>
      </x:c>
      <x:c r="Q953" t="str">
        <x:v>N</x:v>
      </x:c>
      <x:c r="R953" t="str">
        <x:v>1.4</x:v>
      </x:c>
      <x:c r="S953" t="str">
        <x:v>14502.56</x:v>
      </x:c>
      <x:c r="T953" t="str">
        <x:v>P-501A vib high again, prod upset</x:v>
      </x:c>
      <x:c r="U953" t="str">
        <x:v>A shift called for P-501A reflux pump A, pm found defect seen during normal wear. Foud vib high; coupling align or cavitation. opened strainer, cleaned black sludge. temp repair only, plan shutdown job. notif made by ops, maint attended same shift.</x:v>
      </x:c>
    </x:row>
    <x:row r="954" ht="15" hidden="0" customHeight="1">
      <x:c r="A954" t="str">
        <x:v>10450953</x:v>
      </x:c>
      <x:c r="B954" t="str">
        <x:v>40870953</x:v>
      </x:c>
      <x:c r="C954" t="str">
        <x:v>2025-03-26</x:v>
      </x:c>
      <x:c r="D954" t="str">
        <x:v>2025-03-27</x:v>
      </x:c>
      <x:c r="E954" t="str">
        <x:v>2025-03-28</x:v>
      </x:c>
      <x:c r="F954" t="str">
        <x:v>U400-DEETHANIZER-500</x:v>
      </x:c>
      <x:c r="G954" t="str">
        <x:v>E-502</x:v>
      </x:c>
      <x:c r="H954" t="str">
        <x:v>deethanizer overhead condenser</x:v>
      </x:c>
      <x:c r="I954" t="str">
        <x:v>condenser</x:v>
      </x:c>
      <x:c r="J954" t="str">
        <x:v>P3</x:v>
      </x:c>
      <x:c r="K954" t="str">
        <x:v>COMP</x:v>
      </x:c>
      <x:c r="L954" t="str">
        <x:v>OPS+MECH</x:v>
      </x:c>
      <x:c r="M954" t="str">
        <x:v>condenser_fouling</x:v>
      </x:c>
      <x:c r="N954" t="str">
        <x:v>high press</x:v>
      </x:c>
      <x:c r="O954" t="str">
        <x:v>PERF</x:v>
      </x:c>
      <x:c r="P954" t="str">
        <x:v>FOUL</x:v>
      </x:c>
      <x:c r="Q954" t="str">
        <x:v>N</x:v>
      </x:c>
      <x:c r="R954" t="str">
        <x:v>12.9</x:v>
      </x:c>
      <x:c r="S954" t="str">
        <x:v>7276.88</x:v>
      </x:c>
      <x:c r="T954" t="str">
        <x:v>E-502 high press again, prod upset</x:v>
      </x:c>
      <x:c r="U954" t="str">
        <x:v>A shift called for E-502 deethanizer overhead condenser, pic wide open seen during condenser fouling. Foud high press; condensing duty poor. flushed impulse/sample line. still little hunting but acceptable. notif made by ops, maint attended same shift.</x:v>
      </x:c>
    </x:row>
    <x:row r="955" ht="15" hidden="0" customHeight="1">
      <x:c r="A955" t="str">
        <x:v>10450954</x:v>
      </x:c>
      <x:c r="B955" t="str">
        <x:v>40870954</x:v>
      </x:c>
      <x:c r="C955" t="str">
        <x:v>2025-03-23</x:v>
      </x:c>
      <x:c r="D955" t="str">
        <x:v>2025-03-24</x:v>
      </x:c>
      <x:c r="E955" t="str">
        <x:v>2025-03-25</x:v>
      </x:c>
      <x:c r="F955" t="str">
        <x:v>U400-DEETHANIZER-500</x:v>
      </x:c>
      <x:c r="G955" t="str">
        <x:v>V-501</x:v>
      </x:c>
      <x:c r="H955" t="str">
        <x:v>deethanizer reflux drum</x:v>
      </x:c>
      <x:c r="I955" t="str">
        <x:v>vessel</x:v>
      </x:c>
      <x:c r="J955" t="str">
        <x:v>P3</x:v>
      </x:c>
      <x:c r="K955" t="str">
        <x:v>TECO</x:v>
      </x:c>
      <x:c r="L955" t="str">
        <x:v>ANLYZR</x:v>
      </x:c>
      <x:c r="M955" t="str">
        <x:v>reboiler_duty_loss</x:v>
      </x:c>
      <x:c r="N955" t="str">
        <x:v>level swing</x:v>
      </x:c>
      <x:c r="O955" t="str">
        <x:v>LVL_SWING</x:v>
      </x:c>
      <x:c r="P955" t="str">
        <x:v>CTRL</x:v>
      </x:c>
      <x:c r="Q955" t="str">
        <x:v>N</x:v>
      </x:c>
      <x:c r="R955" t="str">
        <x:v>9.0</x:v>
      </x:c>
      <x:c r="S955" t="str">
        <x:v>2522.35</x:v>
      </x:c>
      <x:c r="T955" t="str">
        <x:v>V-501 not ok after reboiler duty loss</x:v>
      </x:c>
      <x:c r="U955" t="str">
        <x:v>A shift called for V-501 deethanizer reflux drum, c2 in btm seen during reboiler duty loss. Foud level swing; lt/lic problem. No spare in store at first, used refurb one from shop. calibrated, loop chekd with CCR. temp repair only, plan shutdown job. notif made by ops, maint attended same shift.</x:v>
      </x:c>
    </x:row>
    <x:row r="956" ht="15" hidden="0" customHeight="1">
      <x:c r="A956" t="str">
        <x:v>10450955</x:v>
      </x:c>
      <x:c r="B956" t="str">
        <x:v>40870955</x:v>
      </x:c>
      <x:c r="C956" t="str">
        <x:v>2025-03-24</x:v>
      </x:c>
      <x:c r="D956" t="str">
        <x:v>2025-03-25</x:v>
      </x:c>
      <x:c r="E956" t="str">
        <x:v>2025-03-26</x:v>
      </x:c>
      <x:c r="F956" t="str">
        <x:v>U400-DEETHANIZER-500</x:v>
      </x:c>
      <x:c r="G956" t="str">
        <x:v>PV-501</x:v>
      </x:c>
      <x:c r="H956" t="str">
        <x:v>column pressure control valve</x:v>
      </x:c>
      <x:c r="I956" t="str">
        <x:v>control_valve</x:v>
      </x:c>
      <x:c r="J956" t="str">
        <x:v>P3</x:v>
      </x:c>
      <x:c r="K956" t="str">
        <x:v>CLSD</x:v>
      </x:c>
      <x:c r="L956" t="str">
        <x:v>MECH</x:v>
      </x:c>
      <x:c r="M956" t="str">
        <x:v>valve_stiction</x:v>
      </x:c>
      <x:c r="N956" t="str">
        <x:v>passing</x:v>
      </x:c>
      <x:c r="O956" t="str">
        <x:v>LEAK_BY</x:v>
      </x:c>
      <x:c r="P956" t="str">
        <x:v>SEAT</x:v>
      </x:c>
      <x:c r="Q956" t="str">
        <x:v>N</x:v>
      </x:c>
      <x:c r="R956" t="str">
        <x:v>10.2</x:v>
      </x:c>
      <x:c r="S956" t="str">
        <x:v>2645.76</x:v>
      </x:c>
      <x:c r="T956" t="str">
        <x:v>chk PV-501 - passing frm ops</x:v>
      </x:c>
      <x:c r="U956" t="str">
        <x:v>C shift called for PV-501 column pressure ctrl valve, loop cycling seen during valve stiction. Foud passing; seat leak by. swapped to standby and repaired. unit stable now. notif made by ops, maint attended same shift.</x:v>
      </x:c>
    </x:row>
    <x:row r="957" ht="15" hidden="0" customHeight="1">
      <x:c r="A957" t="str">
        <x:v>10450956</x:v>
      </x:c>
      <x:c r="B957" t="str">
        <x:v>40870956</x:v>
      </x:c>
      <x:c r="C957" t="str">
        <x:v>2025-03-30</x:v>
      </x:c>
      <x:c r="D957" t="str">
        <x:v>2025-04-01</x:v>
      </x:c>
      <x:c r="E957" t="str">
        <x:v>2025-04-03</x:v>
      </x:c>
      <x:c r="F957" t="str">
        <x:v>U400-DEETHANIZER-500</x:v>
      </x:c>
      <x:c r="G957" t="str">
        <x:v>TT-503</x:v>
      </x:c>
      <x:c r="H957" t="str">
        <x:v>reboiler outlet temperature tx</x:v>
      </x:c>
      <x:c r="I957" t="str">
        <x:v>instrument</x:v>
      </x:c>
      <x:c r="J957" t="str">
        <x:v>P2</x:v>
      </x:c>
      <x:c r="K957" t="str">
        <x:v>TECO</x:v>
      </x:c>
      <x:c r="L957" t="str">
        <x:v>OPS+INST</x:v>
      </x:c>
      <x:c r="M957" t="str">
        <x:v>reboiler_duty_loss</x:v>
      </x:c>
      <x:c r="N957" t="str">
        <x:v>bad reading</x:v>
      </x:c>
      <x:c r="O957" t="str">
        <x:v>DRIFT</x:v>
      </x:c>
      <x:c r="P957" t="str">
        <x:v>CAL</x:v>
      </x:c>
      <x:c r="Q957" t="str">
        <x:v>N</x:v>
      </x:c>
      <x:c r="R957" t="str">
        <x:v>7.0</x:v>
      </x:c>
      <x:c r="S957" t="str">
        <x:v>2168.79</x:v>
      </x:c>
      <x:c r="T957" t="str">
        <x:v>TT-503 bad reading again, prod upset</x:v>
      </x:c>
      <x:c r="U957" t="str">
        <x:v>days called for TT-503 reboiler outlet temperature tx, steam/hm valve no resp seen during reboiler duty loss. Foud bad reading; needs calib. swapped to standby and repaired. readng close to dcs after job. notif made by ops, maint attended same shift.</x:v>
      </x:c>
    </x:row>
    <x:row r="958" ht="15" hidden="0" customHeight="1">
      <x:c r="A958" t="str">
        <x:v>10450957</x:v>
      </x:c>
      <x:c r="B958" t="str">
        <x:v>40870957</x:v>
      </x:c>
      <x:c r="C958" t="str">
        <x:v>2025-04-01</x:v>
      </x:c>
      <x:c r="D958" t="str">
        <x:v>2025-04-01</x:v>
      </x:c>
      <x:c r="E958" t="str">
        <x:v>2025-04-02</x:v>
      </x:c>
      <x:c r="F958" t="str">
        <x:v>U400-DEETHANIZER-500</x:v>
      </x:c>
      <x:c r="G958" t="str">
        <x:v>TV-502</x:v>
      </x:c>
      <x:c r="H958" t="str">
        <x:v>condenser cooling valve</x:v>
      </x:c>
      <x:c r="I958" t="str">
        <x:v>control_valve</x:v>
      </x:c>
      <x:c r="J958" t="str">
        <x:v>P3</x:v>
      </x:c>
      <x:c r="K958" t="str">
        <x:v>TECO</x:v>
      </x:c>
      <x:c r="L958" t="str">
        <x:v>ANLYZR</x:v>
      </x:c>
      <x:c r="M958" t="str">
        <x:v>valve_stiction</x:v>
      </x:c>
      <x:c r="N958" t="str">
        <x:v>passing</x:v>
      </x:c>
      <x:c r="O958" t="str">
        <x:v>LEAK_BY</x:v>
      </x:c>
      <x:c r="P958" t="str">
        <x:v>SEAT</x:v>
      </x:c>
      <x:c r="Q958" t="str">
        <x:v>N</x:v>
      </x:c>
      <x:c r="R958" t="str">
        <x:v>6.9</x:v>
      </x:c>
      <x:c r="S958" t="str">
        <x:v>6420.08</x:v>
      </x:c>
      <x:c r="T958" t="str">
        <x:v>TV-502 passing again, prod upset</x:v>
      </x:c>
      <x:c r="U958" t="str">
        <x:v>night called for TV-502 condenser cooling vavle, loop cycling seen during vavle stiction. Foud passing; seat leak by. History shows same complain last mnth. stroke tested, response better. ops says ok for now. notif made by ops, maint attended same shift.</x:v>
      </x:c>
    </x:row>
    <x:row r="959" ht="15" hidden="0" customHeight="1">
      <x:c r="A959" t="str">
        <x:v>10450958</x:v>
      </x:c>
      <x:c r="B959" t="str">
        <x:v>40870958</x:v>
      </x:c>
      <x:c r="C959" t="str">
        <x:v>2025-04-03</x:v>
      </x:c>
      <x:c r="D959" t="str">
        <x:v>2025-04-05</x:v>
      </x:c>
      <x:c r="E959" t="str">
        <x:v>2025-04-05</x:v>
      </x:c>
      <x:c r="F959" t="str">
        <x:v>U400-DEETHANIZER-500</x:v>
      </x:c>
      <x:c r="G959" t="str">
        <x:v>LV-501</x:v>
      </x:c>
      <x:c r="H959" t="str">
        <x:v>reflux drum level valve</x:v>
      </x:c>
      <x:c r="I959" t="str">
        <x:v>control_valve</x:v>
      </x:c>
      <x:c r="J959" t="str">
        <x:v>P1</x:v>
      </x:c>
      <x:c r="K959" t="str">
        <x:v>COMP</x:v>
      </x:c>
      <x:c r="L959" t="str">
        <x:v>ANLYZR</x:v>
      </x:c>
      <x:c r="M959" t="str">
        <x:v>reflux_pump_degradation</x:v>
      </x:c>
      <x:c r="N959" t="str">
        <x:v>passing</x:v>
      </x:c>
      <x:c r="O959" t="str">
        <x:v>LEAK_BY</x:v>
      </x:c>
      <x:c r="P959" t="str">
        <x:v>SEAT</x:v>
      </x:c>
      <x:c r="Q959" t="str">
        <x:v>N</x:v>
      </x:c>
      <x:c r="R959" t="str">
        <x:v>6.4</x:v>
      </x:c>
      <x:c r="S959" t="str">
        <x:v>334.27</x:v>
      </x:c>
      <x:c r="T959" t="str">
        <x:v>LV-501 disch press low, passing</x:v>
      </x:c>
      <x:c r="U959" t="str">
        <x:v>C shift called for LV-501 reflux drum level valve, pump vib seen during reflux pump degradation. Foud passing; seat leak by. No spare in store at first, used refurb one from shop. reset trip and monitored for 2 hrs. unit stable now. notif made by ops, maint attended same shift.</x:v>
      </x:c>
    </x:row>
    <x:row r="960" ht="15" hidden="0" customHeight="1">
      <x:c r="A960" t="str">
        <x:v>10450959</x:v>
      </x:c>
      <x:c r="B960" t="str">
        <x:v>40870959</x:v>
      </x:c>
      <x:c r="C960" t="str">
        <x:v>2025-04-01</x:v>
      </x:c>
      <x:c r="D960" t="str">
        <x:v>2025-04-01</x:v>
      </x:c>
      <x:c r="E960" t="str">
        <x:v>2025-04-02</x:v>
      </x:c>
      <x:c r="F960" t="str">
        <x:v>U400-DEETHANIZER-500</x:v>
      </x:c>
      <x:c r="G960" t="str">
        <x:v>TV-502</x:v>
      </x:c>
      <x:c r="H960" t="str">
        <x:v>condenser cooling valve</x:v>
      </x:c>
      <x:c r="I960" t="str">
        <x:v>control_valve</x:v>
      </x:c>
      <x:c r="J960" t="str">
        <x:v>P3</x:v>
      </x:c>
      <x:c r="K960" t="str">
        <x:v>COMP</x:v>
      </x:c>
      <x:c r="L960" t="str">
        <x:v>E&amp;I</x:v>
      </x:c>
      <x:c r="M960" t="str">
        <x:v>valve_stiction</x:v>
      </x:c>
      <x:c r="N960" t="str">
        <x:v>stiction</x:v>
      </x:c>
      <x:c r="O960" t="str">
        <x:v>STICK</x:v>
      </x:c>
      <x:c r="P960" t="str">
        <x:v>PACKING</x:v>
      </x:c>
      <x:c r="Q960" t="str">
        <x:v>N</x:v>
      </x:c>
      <x:c r="R960" t="str">
        <x:v>16.8</x:v>
      </x:c>
      <x:c r="S960" t="str">
        <x:v>2572.87</x:v>
      </x:c>
      <x:c r="T960" t="str">
        <x:v>chk TV-502 - stiction frm ops</x:v>
      </x:c>
      <x:c r="U960" t="str">
        <x:v>night called for TV-502 condenser cooling valve, loop cycling seen during valve stiction. Foud stiction; stem sticky and pos err. swapped to standby and repaired. unit stable now. notif made by ops, maint attended same shift.</x:v>
      </x:c>
    </x:row>
    <x:row r="961" ht="15" hidden="0" customHeight="1">
      <x:c r="A961" t="str">
        <x:v>10450960</x:v>
      </x:c>
      <x:c r="B961" t="str">
        <x:v>40870960</x:v>
      </x:c>
      <x:c r="C961" t="str">
        <x:v>2025-04-05</x:v>
      </x:c>
      <x:c r="D961" t="str">
        <x:v>2025-04-05</x:v>
      </x:c>
      <x:c r="E961" t="str">
        <x:v>2025-04-06</x:v>
      </x:c>
      <x:c r="F961" t="str">
        <x:v>U400-DEETHANIZER-500</x:v>
      </x:c>
      <x:c r="G961" t="str">
        <x:v>FV-501</x:v>
      </x:c>
      <x:c r="H961" t="str">
        <x:v>feed flow control valve</x:v>
      </x:c>
      <x:c r="I961" t="str">
        <x:v>control_valve</x:v>
      </x:c>
      <x:c r="J961" t="str">
        <x:v>P3</x:v>
      </x:c>
      <x:c r="K961" t="str">
        <x:v>COMP</x:v>
      </x:c>
      <x:c r="L961" t="str">
        <x:v>ROT</x:v>
      </x:c>
      <x:c r="M961" t="str">
        <x:v>valve_stiction</x:v>
      </x:c>
      <x:c r="N961" t="str">
        <x:v>hunting loop</x:v>
      </x:c>
      <x:c r="O961" t="str">
        <x:v>CTRL_OSC</x:v>
      </x:c>
      <x:c r="P961" t="str">
        <x:v>TUNE</x:v>
      </x:c>
      <x:c r="Q961" t="str">
        <x:v>N</x:v>
      </x:c>
      <x:c r="R961" t="str">
        <x:v>11.1</x:v>
      </x:c>
      <x:c r="S961" t="str">
        <x:v>1584.61</x:v>
      </x:c>
      <x:c r="T961" t="str">
        <x:v>FV-501 air leak, hunting loop</x:v>
      </x:c>
      <x:c r="U961" t="str">
        <x:v>days called for FV-501 feed flow control valve, position bad seen during valve stiction. Foud hunting loop; bad response after upset. Tag plate dirty, confirmd by line up with panel. tightened fittings, leak test ok. need watch next feed swing. notif made by ops, maint attended same shift.</x:v>
      </x:c>
    </x:row>
    <x:row r="962" ht="15" hidden="0" customHeight="1">
      <x:c r="A962" t="str">
        <x:v>10450961</x:v>
      </x:c>
      <x:c r="B962" t="str">
        <x:v>40870961</x:v>
      </x:c>
      <x:c r="C962" t="str">
        <x:v>2025-04-02</x:v>
      </x:c>
      <x:c r="D962" t="str">
        <x:v>2025-04-02</x:v>
      </x:c>
      <x:c r="E962" t="str">
        <x:v>2025-04-03</x:v>
      </x:c>
      <x:c r="F962" t="str">
        <x:v>U400-DEETHANIZER-500</x:v>
      </x:c>
      <x:c r="G962" t="str">
        <x:v>P-502B</x:v>
      </x:c>
      <x:c r="H962" t="str">
        <x:v>bottoms pump B</x:v>
      </x:c>
      <x:c r="I962" t="str">
        <x:v>pump</x:v>
      </x:c>
      <x:c r="J962" t="str">
        <x:v>P3</x:v>
      </x:c>
      <x:c r="K962" t="str">
        <x:v>CLSD</x:v>
      </x:c>
      <x:c r="L962" t="str">
        <x:v>ANLYZR</x:v>
      </x:c>
      <x:c r="M962" t="str">
        <x:v>reboiler_duty_loss</x:v>
      </x:c>
      <x:c r="N962" t="str">
        <x:v>seal leak</x:v>
      </x:c>
      <x:c r="O962" t="str">
        <x:v>MECH_SEAL</x:v>
      </x:c>
      <x:c r="P962" t="str">
        <x:v>SEAL</x:v>
      </x:c>
      <x:c r="Q962" t="str">
        <x:v>N</x:v>
      </x:c>
      <x:c r="R962" t="str">
        <x:v>1.1</x:v>
      </x:c>
      <x:c r="S962" t="str">
        <x:v>14436.88</x:v>
      </x:c>
      <x:c r="T962" t="str">
        <x:v>P-502B seal leak again, prod upset</x:v>
      </x:c>
      <x:c r="U962" t="str">
        <x:v>B shift called for P-502B bottoms pump B, tray temp low seen during rebiler duty loss. Foud seal leak; seal face worn / dry run signs. opened strainer, cleaned black sludge. no leak at handover. notif made by ops, maint attended same shift.</x:v>
      </x:c>
    </x:row>
    <x:row r="963" ht="15" hidden="0" customHeight="1">
      <x:c r="A963" t="str">
        <x:v>10450962</x:v>
      </x:c>
      <x:c r="B963" t="str">
        <x:v>40870962</x:v>
      </x:c>
      <x:c r="C963" t="str">
        <x:v>2025-04-07</x:v>
      </x:c>
      <x:c r="D963" t="str">
        <x:v>2025-04-09</x:v>
      </x:c>
      <x:c r="E963" t="str">
        <x:v>2025-04-09</x:v>
      </x:c>
      <x:c r="F963" t="str">
        <x:v>U400-DEETHANIZER-500</x:v>
      </x:c>
      <x:c r="G963" t="str">
        <x:v>FV-502</x:v>
      </x:c>
      <x:c r="H963" t="str">
        <x:v>reflux flow control valve</x:v>
      </x:c>
      <x:c r="I963" t="str">
        <x:v>control_valve</x:v>
      </x:c>
      <x:c r="J963" t="str">
        <x:v>P2</x:v>
      </x:c>
      <x:c r="K963" t="str">
        <x:v>COMP</x:v>
      </x:c>
      <x:c r="L963" t="str">
        <x:v>OPS+MECH</x:v>
      </x:c>
      <x:c r="M963" t="str">
        <x:v>reflux_pump_degradation</x:v>
      </x:c>
      <x:c r="N963" t="str">
        <x:v>air leak</x:v>
      </x:c>
      <x:c r="O963" t="str">
        <x:v>AIR_LEAK</x:v>
      </x:c>
      <x:c r="P963" t="str">
        <x:v>TUBING</x:v>
      </x:c>
      <x:c r="Q963" t="str">
        <x:v>Y</x:v>
      </x:c>
      <x:c r="R963" t="str">
        <x:v>12.3</x:v>
      </x:c>
      <x:c r="S963" t="str">
        <x:v>4325.75</x:v>
      </x:c>
      <x:c r="T963" t="str">
        <x:v>chk FV-502 - air leak frm ops</x:v>
      </x:c>
      <x:c r="U963" t="str">
        <x:v>night called for FV-502 reflux flow control valve, min flow hot seen during reflux pump degradation. Foud air leak; positioner supply drop. opened strainer, cleaned black sludge. temp repair only, plan shutdown job. notif made by ops, maint attended same shift.</x:v>
      </x:c>
    </x:row>
    <x:row r="964" ht="15" hidden="0" customHeight="1">
      <x:c r="A964" t="str">
        <x:v>10450963</x:v>
      </x:c>
      <x:c r="B964" t="str">
        <x:v>40870963</x:v>
      </x:c>
      <x:c r="C964" t="str">
        <x:v>2025-04-07</x:v>
      </x:c>
      <x:c r="D964" t="str">
        <x:v>2025-04-09</x:v>
      </x:c>
      <x:c r="E964" t="str">
        <x:v>2025-04-10</x:v>
      </x:c>
      <x:c r="F964" t="str">
        <x:v>U400-DEETHANIZER-500</x:v>
      </x:c>
      <x:c r="G964" t="str">
        <x:v>PSV-501A</x:v>
      </x:c>
      <x:c r="H964" t="str">
        <x:v>column relief valve A</x:v>
      </x:c>
      <x:c r="I964" t="str">
        <x:v>relief</x:v>
      </x:c>
      <x:c r="J964" t="str">
        <x:v>P2</x:v>
      </x:c>
      <x:c r="K964" t="str">
        <x:v>COMP</x:v>
      </x:c>
      <x:c r="L964" t="str">
        <x:v>ROT</x:v>
      </x:c>
      <x:c r="M964" t="str">
        <x:v>condenser_fouling</x:v>
      </x:c>
      <x:c r="N964" t="str">
        <x:v>due to lift chk</x:v>
      </x:c>
      <x:c r="O964" t="str">
        <x:v>LIFT_EVENT</x:v>
      </x:c>
      <x:c r="P964" t="str">
        <x:v>PROCESS</x:v>
      </x:c>
      <x:c r="Q964" t="str">
        <x:v>N</x:v>
      </x:c>
      <x:c r="R964" t="str">
        <x:v>11.8</x:v>
      </x:c>
      <x:c r="S964" t="str">
        <x:v>4271.11</x:v>
      </x:c>
      <x:c r="T964" t="str">
        <x:v>chk PSV-501A - due to lift chk frm ops</x:v>
      </x:c>
      <x:c r="U964" t="str">
        <x:v>days called for PSV-501A column relief valve A, high ovhd press seen during condenser fouling. Foud due to lift chk; after pressure excursion. replaced positioner tubing and retuned small. no leak at handover. notif made by ops, maint attended same shift.</x:v>
      </x:c>
    </x:row>
    <x:row r="965" ht="15" hidden="0" customHeight="1">
      <x:c r="A965" t="str">
        <x:v>10450964</x:v>
      </x:c>
      <x:c r="B965" t="str">
        <x:v>40870964</x:v>
      </x:c>
      <x:c r="C965" t="str">
        <x:v>2025-04-11</x:v>
      </x:c>
      <x:c r="D965" t="str">
        <x:v>2025-04-11</x:v>
      </x:c>
      <x:c r="E965" t="str">
        <x:v>2025-04-14</x:v>
      </x:c>
      <x:c r="F965" t="str">
        <x:v>U400-DEETHANIZER-500</x:v>
      </x:c>
      <x:c r="G965" t="str">
        <x:v>PV-501</x:v>
      </x:c>
      <x:c r="H965" t="str">
        <x:v>column pressure control valve</x:v>
      </x:c>
      <x:c r="I965" t="str">
        <x:v>control_valve</x:v>
      </x:c>
      <x:c r="J965" t="str">
        <x:v>P2</x:v>
      </x:c>
      <x:c r="K965" t="str">
        <x:v>COMP</x:v>
      </x:c>
      <x:c r="L965" t="str">
        <x:v>VALVE</x:v>
      </x:c>
      <x:c r="M965" t="str">
        <x:v>pressure_control_fault</x:v>
      </x:c>
      <x:c r="N965" t="str">
        <x:v>stiction</x:v>
      </x:c>
      <x:c r="O965" t="str">
        <x:v>STICK</x:v>
      </x:c>
      <x:c r="P965" t="str">
        <x:v>PACKING</x:v>
      </x:c>
      <x:c r="Q965" t="str">
        <x:v>N</x:v>
      </x:c>
      <x:c r="R965" t="str">
        <x:v>17.7</x:v>
      </x:c>
      <x:c r="S965" t="str">
        <x:v>4600.76</x:v>
      </x:c>
      <x:c r="T965" t="str">
        <x:v>PV-501 stiction again, prod upset</x:v>
      </x:c>
      <x:c r="U965" t="str">
        <x:v>A shift called for PV-501 column pressure control valve, flare valve checked seen during pressure control fault. Foud stiction; stem sticky and pos err. calibrated, loop checked with CCR. still little hunting but acceptable. notif made by ops, maint attended same shift.</x:v>
      </x:c>
    </x:row>
    <x:row r="966" ht="15" hidden="0" customHeight="1">
      <x:c r="A966" t="str">
        <x:v>10450965</x:v>
      </x:c>
      <x:c r="B966" t="str">
        <x:v>40870965</x:v>
      </x:c>
      <x:c r="C966" t="str">
        <x:v>2025-04-11</x:v>
      </x:c>
      <x:c r="D966" t="str">
        <x:v>2025-04-13</x:v>
      </x:c>
      <x:c r="E966" t="str">
        <x:v>2025-04-14</x:v>
      </x:c>
      <x:c r="F966" t="str">
        <x:v>U400-DEETHANIZER-500</x:v>
      </x:c>
      <x:c r="G966" t="str">
        <x:v>FV-501</x:v>
      </x:c>
      <x:c r="H966" t="str">
        <x:v>feed flow control valve</x:v>
      </x:c>
      <x:c r="I966" t="str">
        <x:v>control_valve</x:v>
      </x:c>
      <x:c r="J966" t="str">
        <x:v>P3</x:v>
      </x:c>
      <x:c r="K966" t="str">
        <x:v>COMP</x:v>
      </x:c>
      <x:c r="L966" t="str">
        <x:v>MECH</x:v>
      </x:c>
      <x:c r="M966" t="str">
        <x:v>feed_flow_step</x:v>
      </x:c>
      <x:c r="N966" t="str">
        <x:v>hunting loop</x:v>
      </x:c>
      <x:c r="O966" t="str">
        <x:v>CTRL_OSC</x:v>
      </x:c>
      <x:c r="P966" t="str">
        <x:v>TUNE</x:v>
      </x:c>
      <x:c r="Q966" t="str">
        <x:v>N</x:v>
      </x:c>
      <x:c r="R966" t="str">
        <x:v>6.1</x:v>
      </x:c>
      <x:c r="S966" t="str">
        <x:v>941.94</x:v>
      </x:c>
      <x:c r="T966" t="str">
        <x:v>FV-501 hunting loop again, prod upset</x:v>
      </x:c>
      <x:c r="U966" t="str">
        <x:v>night called for FV-501 feed flow control vavle, lvl swing seen during feed flow step. Foud hunting loop; bad response after upset. tightened fittings, leak test ok. need watch next feed swing. notif made by ops, maint attended same shift.</x:v>
      </x:c>
    </x:row>
    <x:row r="967" ht="15" hidden="0" customHeight="1">
      <x:c r="A967" t="str">
        <x:v>10450966</x:v>
      </x:c>
      <x:c r="B967" t="str">
        <x:v>40870966</x:v>
      </x:c>
      <x:c r="C967" t="str">
        <x:v>2025-04-10</x:v>
      </x:c>
      <x:c r="D967" t="str">
        <x:v>2025-04-10</x:v>
      </x:c>
      <x:c r="E967" t="str">
        <x:v>2025-04-10</x:v>
      </x:c>
      <x:c r="F967" t="str">
        <x:v>U400-DEETHANIZER-500</x:v>
      </x:c>
      <x:c r="G967" t="str">
        <x:v>FV-501</x:v>
      </x:c>
      <x:c r="H967" t="str">
        <x:v>feed flow control valve</x:v>
      </x:c>
      <x:c r="I967" t="str">
        <x:v>control_valve</x:v>
      </x:c>
      <x:c r="J967" t="str">
        <x:v>P3</x:v>
      </x:c>
      <x:c r="K967" t="str">
        <x:v>COMP</x:v>
      </x:c>
      <x:c r="L967" t="str">
        <x:v>MECH</x:v>
      </x:c>
      <x:c r="M967" t="str">
        <x:v>valve_stiction</x:v>
      </x:c>
      <x:c r="N967" t="str">
        <x:v>hunting loop</x:v>
      </x:c>
      <x:c r="O967" t="str">
        <x:v>CTRL_OSC</x:v>
      </x:c>
      <x:c r="P967" t="str">
        <x:v>TUNE</x:v>
      </x:c>
      <x:c r="Q967" t="str">
        <x:v>N</x:v>
      </x:c>
      <x:c r="R967" t="str">
        <x:v>10.2</x:v>
      </x:c>
      <x:c r="S967" t="str">
        <x:v>3004.8</x:v>
      </x:c>
      <x:c r="T967" t="str">
        <x:v>FV-501 not ok after valve stiction</x:v>
      </x:c>
      <x:c r="U967" t="str">
        <x:v>days called for FV-501 feed flow control valve, valve sticking seen during valve stiction. Foud hunting loop; bad response after upset. replaced positioner tubing and retuned small. still little hunting but acceptable. notif made by ops, maint attended same shift.</x:v>
      </x:c>
    </x:row>
    <x:row r="968" ht="15" hidden="0" customHeight="1">
      <x:c r="A968" t="str">
        <x:v>10450967</x:v>
      </x:c>
      <x:c r="B968" t="str">
        <x:v>40870967</x:v>
      </x:c>
      <x:c r="C968" t="str">
        <x:v>2025-04-11</x:v>
      </x:c>
      <x:c r="D968" t="str">
        <x:v>2025-04-12</x:v>
      </x:c>
      <x:c r="E968" t="str">
        <x:v>2025-04-13</x:v>
      </x:c>
      <x:c r="F968" t="str">
        <x:v>U400-DEETHANIZER-500</x:v>
      </x:c>
      <x:c r="G968" t="str">
        <x:v>E-501</x:v>
      </x:c>
      <x:c r="H968" t="str">
        <x:v>deethanizer reboiler</x:v>
      </x:c>
      <x:c r="I968" t="str">
        <x:v>reboiler</x:v>
      </x:c>
      <x:c r="J968" t="str">
        <x:v>P4</x:v>
      </x:c>
      <x:c r="K968" t="str">
        <x:v>TECO</x:v>
      </x:c>
      <x:c r="L968" t="str">
        <x:v>INST</x:v>
      </x:c>
      <x:c r="M968" t="str">
        <x:v>reboiler_duty_loss</x:v>
      </x:c>
      <x:c r="N968" t="str">
        <x:v>fouled bundle</x:v>
      </x:c>
      <x:c r="O968" t="str">
        <x:v>FOULING</x:v>
      </x:c>
      <x:c r="P968" t="str">
        <x:v>PROCESS</x:v>
      </x:c>
      <x:c r="Q968" t="str">
        <x:v>N</x:v>
      </x:c>
      <x:c r="R968" t="str">
        <x:v>3.0</x:v>
      </x:c>
      <x:c r="S968" t="str">
        <x:v>14109.43</x:v>
      </x:c>
      <x:c r="T968" t="str">
        <x:v>E-501 not ok after reboiler duty loss</x:v>
      </x:c>
      <x:c r="U968" t="str">
        <x:v>B shift called for E-501 deethanizer reboiler, low heat seen during reboiler duty loss. Foud fouled bundle; bottoms side dirty. stroke tested, response better. unit stable now. notif made by ops, maint attended same shift.</x:v>
      </x:c>
    </x:row>
    <x:row r="969" ht="15" hidden="0" customHeight="1">
      <x:c r="A969" t="str">
        <x:v>10450968</x:v>
      </x:c>
      <x:c r="B969" t="str">
        <x:v>40870968</x:v>
      </x:c>
      <x:c r="C969" t="str">
        <x:v>2025-04-14</x:v>
      </x:c>
      <x:c r="D969" t="str">
        <x:v>2025-04-16</x:v>
      </x:c>
      <x:c r="E969" t="str">
        <x:v>2025-04-18</x:v>
      </x:c>
      <x:c r="F969" t="str">
        <x:v>U400-DEETHANIZER-500</x:v>
      </x:c>
      <x:c r="G969" t="str">
        <x:v>PV-501</x:v>
      </x:c>
      <x:c r="H969" t="str">
        <x:v>column pressure control valve</x:v>
      </x:c>
      <x:c r="I969" t="str">
        <x:v>control_valve</x:v>
      </x:c>
      <x:c r="J969" t="str">
        <x:v>P4</x:v>
      </x:c>
      <x:c r="K969" t="str">
        <x:v>COMP</x:v>
      </x:c>
      <x:c r="L969" t="str">
        <x:v>OPS+MECH</x:v>
      </x:c>
      <x:c r="M969" t="str">
        <x:v>valve_stiction</x:v>
      </x:c>
      <x:c r="N969" t="str">
        <x:v>hunting loop</x:v>
      </x:c>
      <x:c r="O969" t="str">
        <x:v>CTRL_OSC</x:v>
      </x:c>
      <x:c r="P969" t="str">
        <x:v>TUNE</x:v>
      </x:c>
      <x:c r="Q969" t="str">
        <x:v>N</x:v>
      </x:c>
      <x:c r="R969" t="str">
        <x:v>15.6</x:v>
      </x:c>
      <x:c r="S969" t="str">
        <x:v>3051.63</x:v>
      </x:c>
      <x:c r="T969" t="str">
        <x:v>PV-501 not ok after valve stiction</x:v>
      </x:c>
      <x:c r="U969" t="str">
        <x:v>C shift called for PV-501 column pressure ctrl valve, valve sticking seen during valve stiction. Foud hunting loop; bad response after upset. Could not get permit first time waiting area gas test. cleaned and put back online. unit stable now. notif made by ops, maint attended same shift.</x:v>
      </x:c>
    </x:row>
    <x:row r="970" ht="15" hidden="0" customHeight="1">
      <x:c r="A970" t="str">
        <x:v>10450969</x:v>
      </x:c>
      <x:c r="B970" t="str">
        <x:v>40870969</x:v>
      </x:c>
      <x:c r="C970" t="str">
        <x:v>2025-04-18</x:v>
      </x:c>
      <x:c r="D970" t="str">
        <x:v>2025-04-18</x:v>
      </x:c>
      <x:c r="E970" t="str">
        <x:v>2025-04-18</x:v>
      </x:c>
      <x:c r="F970" t="str">
        <x:v>U400-DEETHANIZER-500</x:v>
      </x:c>
      <x:c r="G970" t="str">
        <x:v>T-501</x:v>
      </x:c>
      <x:c r="H970" t="str">
        <x:v>deethanizer column</x:v>
      </x:c>
      <x:c r="I970" t="str">
        <x:v>column</x:v>
      </x:c>
      <x:c r="J970" t="str">
        <x:v>P4</x:v>
      </x:c>
      <x:c r="K970" t="str">
        <x:v>TECO</x:v>
      </x:c>
      <x:c r="L970" t="str">
        <x:v>ANLYZR</x:v>
      </x:c>
      <x:c r="M970" t="str">
        <x:v>feed_flow_step</x:v>
      </x:c>
      <x:c r="N970" t="str">
        <x:v>tray temp bad</x:v>
      </x:c>
      <x:c r="O970" t="str">
        <x:v>TEMP_DEV</x:v>
      </x:c>
      <x:c r="P970" t="str">
        <x:v>PROCESS</x:v>
      </x:c>
      <x:c r="Q970" t="str">
        <x:v>N</x:v>
      </x:c>
      <x:c r="R970" t="str">
        <x:v>1.9</x:v>
      </x:c>
      <x:c r="S970" t="str">
        <x:v>5914.64</x:v>
      </x:c>
      <x:c r="T970" t="str">
        <x:v>T-501 tray temp bad again, prod upset</x:v>
      </x:c>
      <x:c r="U970" t="str">
        <x:v>B shift called for T-501 deethanizer column, c2 recov down seen during feed flow step. Foud tray temp bad; profile not normal. changed gasket and boxed up. still little hunting but acceptable. notif made by ops, maint attended same shift.</x:v>
      </x:c>
    </x:row>
    <x:row r="971" ht="15" hidden="0" customHeight="1">
      <x:c r="A971" t="str">
        <x:v>10450970</x:v>
      </x:c>
      <x:c r="B971" t="str">
        <x:v>40870970</x:v>
      </x:c>
      <x:c r="C971" t="str">
        <x:v>2025-04-19</x:v>
      </x:c>
      <x:c r="D971" t="str">
        <x:v>2025-04-19</x:v>
      </x:c>
      <x:c r="E971" t="str">
        <x:v>2025-04-22</x:v>
      </x:c>
      <x:c r="F971" t="str">
        <x:v>U400-DEETHANIZER-500</x:v>
      </x:c>
      <x:c r="G971" t="str">
        <x:v>P-501A</x:v>
      </x:c>
      <x:c r="H971" t="str">
        <x:v>reflux pump A</x:v>
      </x:c>
      <x:c r="I971" t="str">
        <x:v>pump</x:v>
      </x:c>
      <x:c r="J971" t="str">
        <x:v>P2</x:v>
      </x:c>
      <x:c r="K971" t="str">
        <x:v>CLSD</x:v>
      </x:c>
      <x:c r="L971" t="str">
        <x:v>INST</x:v>
      </x:c>
      <x:c r="M971" t="str">
        <x:v>valve_stiction</x:v>
      </x:c>
      <x:c r="N971" t="str">
        <x:v>seal leak</x:v>
      </x:c>
      <x:c r="O971" t="str">
        <x:v>MECH_SEAL</x:v>
      </x:c>
      <x:c r="P971" t="str">
        <x:v>SEAL</x:v>
      </x:c>
      <x:c r="Q971" t="str">
        <x:v>N</x:v>
      </x:c>
      <x:c r="R971" t="str">
        <x:v>15.1</x:v>
      </x:c>
      <x:c r="S971" t="str">
        <x:v>10741.13</x:v>
      </x:c>
      <x:c r="T971" t="str">
        <x:v>P-501A loop cycling, seal leak</x:v>
      </x:c>
      <x:c r="U971" t="str">
        <x:v>C shift called for P-501A rflx pump A, valve sticking seen during valve stiction. Foud seal leak; seal face worn / dry run signs. Could not get permit first time waiting area gas test. cleaned and put back online. still little hunting but acceptable. notif made by ops, maint attended same shift.</x:v>
      </x:c>
    </x:row>
    <x:row r="972" ht="15" hidden="0" customHeight="1">
      <x:c r="A972" t="str">
        <x:v>10450971</x:v>
      </x:c>
      <x:c r="B972" t="str">
        <x:v>40870971</x:v>
      </x:c>
      <x:c r="C972" t="str">
        <x:v>2025-04-19</x:v>
      </x:c>
      <x:c r="D972" t="str">
        <x:v>2025-04-19</x:v>
      </x:c>
      <x:c r="E972" t="str">
        <x:v>2025-04-20</x:v>
      </x:c>
      <x:c r="F972" t="str">
        <x:v>U400-DEETHANIZER-500</x:v>
      </x:c>
      <x:c r="G972" t="str">
        <x:v>TT-503</x:v>
      </x:c>
      <x:c r="H972" t="str">
        <x:v>reboiler outlet temperature tx</x:v>
      </x:c>
      <x:c r="I972" t="str">
        <x:v>instrument</x:v>
      </x:c>
      <x:c r="J972" t="str">
        <x:v>P2</x:v>
      </x:c>
      <x:c r="K972" t="str">
        <x:v>TECO</x:v>
      </x:c>
      <x:c r="L972" t="str">
        <x:v>E&amp;I</x:v>
      </x:c>
      <x:c r="M972" t="str">
        <x:v>reboiler_duty_loss</x:v>
      </x:c>
      <x:c r="N972" t="str">
        <x:v>impulse plugged</x:v>
      </x:c>
      <x:c r="O972" t="str">
        <x:v>PLUG</x:v>
      </x:c>
      <x:c r="P972" t="str">
        <x:v>PROCESS</x:v>
      </x:c>
      <x:c r="Q972" t="str">
        <x:v>Y</x:v>
      </x:c>
      <x:c r="R972" t="str">
        <x:v>8.6</x:v>
      </x:c>
      <x:c r="S972" t="str">
        <x:v>3310.06</x:v>
      </x:c>
      <x:c r="T972" t="str">
        <x:v>TT-503 not ok after reboiler duty loss</x:v>
      </x:c>
      <x:c r="U972" t="str">
        <x:v>night called for TT-503 reboiler outlet temperature tx, tray temp low seen during reboiler duty loss. Foud impulse plugged; tap/line dirty. Tag plate dirty, confirmd by line up with panel. cleaned and put back online. temp repair only, plan shutdown job. notif made by ops, maint attended same shift.</x:v>
      </x:c>
    </x:row>
    <x:row r="973" ht="15" hidden="0" customHeight="1">
      <x:c r="A973" t="str">
        <x:v>10450972</x:v>
      </x:c>
      <x:c r="B973" t="str">
        <x:v>40870972</x:v>
      </x:c>
      <x:c r="C973" t="str">
        <x:v>2025-04-23</x:v>
      </x:c>
      <x:c r="D973" t="str">
        <x:v>2025-04-25</x:v>
      </x:c>
      <x:c r="E973" t="str">
        <x:v>2025-04-25</x:v>
      </x:c>
      <x:c r="F973" t="str">
        <x:v>U400-DEETHANIZER-500</x:v>
      </x:c>
      <x:c r="G973" t="str">
        <x:v>TV-502</x:v>
      </x:c>
      <x:c r="H973" t="str">
        <x:v>condenser cooling valve</x:v>
      </x:c>
      <x:c r="I973" t="str">
        <x:v>control_valve</x:v>
      </x:c>
      <x:c r="J973" t="str">
        <x:v>P3</x:v>
      </x:c>
      <x:c r="K973" t="str">
        <x:v>COMP</x:v>
      </x:c>
      <x:c r="L973" t="str">
        <x:v>OPS+INST</x:v>
      </x:c>
      <x:c r="M973" t="str">
        <x:v>feed_composition_shift</x:v>
      </x:c>
      <x:c r="N973" t="str">
        <x:v>air leak</x:v>
      </x:c>
      <x:c r="O973" t="str">
        <x:v>AIR_LEAK</x:v>
      </x:c>
      <x:c r="P973" t="str">
        <x:v>TUBING</x:v>
      </x:c>
      <x:c r="Q973" t="str">
        <x:v>N</x:v>
      </x:c>
      <x:c r="R973" t="str">
        <x:v>12.5</x:v>
      </x:c>
      <x:c r="S973" t="str">
        <x:v>589.42</x:v>
      </x:c>
      <x:c r="T973" t="str">
        <x:v>chk TV-502 - air leak frm ops</x:v>
      </x:c>
      <x:c r="U973" t="str">
        <x:v>A shift called for TV-502 condenser cooling valve, quality bad seen during feed composition shift. Foud air leak; positioner supply drop. replaced positioner tubing and retuned small. need watch next feed swing. notif made by ops, maint attended same shift.</x:v>
      </x:c>
    </x:row>
    <x:row r="974" ht="15" hidden="0" customHeight="1">
      <x:c r="A974" t="str">
        <x:v>10450973</x:v>
      </x:c>
      <x:c r="B974" t="str">
        <x:v>40870973</x:v>
      </x:c>
      <x:c r="C974" t="str">
        <x:v>2025-04-20</x:v>
      </x:c>
      <x:c r="D974" t="str">
        <x:v>2025-04-21</x:v>
      </x:c>
      <x:c r="E974" t="str">
        <x:v>2025-04-22</x:v>
      </x:c>
      <x:c r="F974" t="str">
        <x:v>U400-DEETHANIZER-500</x:v>
      </x:c>
      <x:c r="G974" t="str">
        <x:v>FT-502</x:v>
      </x:c>
      <x:c r="H974" t="str">
        <x:v>reflux flow transmitter</x:v>
      </x:c>
      <x:c r="I974" t="str">
        <x:v>instrument</x:v>
      </x:c>
      <x:c r="J974" t="str">
        <x:v>P1</x:v>
      </x:c>
      <x:c r="K974" t="str">
        <x:v>TECO</x:v>
      </x:c>
      <x:c r="L974" t="str">
        <x:v>INST</x:v>
      </x:c>
      <x:c r="M974" t="str">
        <x:v>reflux_pump_degradation</x:v>
      </x:c>
      <x:c r="N974" t="str">
        <x:v>bad reading</x:v>
      </x:c>
      <x:c r="O974" t="str">
        <x:v>DRIFT</x:v>
      </x:c>
      <x:c r="P974" t="str">
        <x:v>CAL</x:v>
      </x:c>
      <x:c r="Q974" t="str">
        <x:v>Y</x:v>
      </x:c>
      <x:c r="R974" t="str">
        <x:v>8.2</x:v>
      </x:c>
      <x:c r="S974" t="str">
        <x:v>1844.65</x:v>
      </x:c>
      <x:c r="T974" t="str">
        <x:v>FT-502 disch press low, bad reading</x:v>
      </x:c>
      <x:c r="U974" t="str">
        <x:v>C shift called for FT-502 reflux flow transmitter, disch press low seen during reflux pump degradation. Foud bad reading; needs calib. stroke tested, response better. readng close to dcs after job. notif made by ops, maint attended same shift.</x:v>
      </x:c>
    </x:row>
    <x:row r="975" ht="15" hidden="0" customHeight="1">
      <x:c r="A975" t="str">
        <x:v>10450974</x:v>
      </x:c>
      <x:c r="B975" t="str">
        <x:v>40870974</x:v>
      </x:c>
      <x:c r="C975" t="str">
        <x:v>2025-04-24</x:v>
      </x:c>
      <x:c r="D975" t="str">
        <x:v>2025-04-24</x:v>
      </x:c>
      <x:c r="E975" t="str">
        <x:v>2025-04-24</x:v>
      </x:c>
      <x:c r="F975" t="str">
        <x:v>U400-DEETHANIZER-500</x:v>
      </x:c>
      <x:c r="G975" t="str">
        <x:v>E-502</x:v>
      </x:c>
      <x:c r="H975" t="str">
        <x:v>deethanizer overhead condenser</x:v>
      </x:c>
      <x:c r="I975" t="str">
        <x:v>condenser</x:v>
      </x:c>
      <x:c r="J975" t="str">
        <x:v>P2</x:v>
      </x:c>
      <x:c r="K975" t="str">
        <x:v>CLSD</x:v>
      </x:c>
      <x:c r="L975" t="str">
        <x:v>OPS+MECH</x:v>
      </x:c>
      <x:c r="M975" t="str">
        <x:v>condenser_fouling</x:v>
      </x:c>
      <x:c r="N975" t="str">
        <x:v>cw fouling</x:v>
      </x:c>
      <x:c r="O975" t="str">
        <x:v>FOULING</x:v>
      </x:c>
      <x:c r="P975" t="str">
        <x:v>UTILITY</x:v>
      </x:c>
      <x:c r="Q975" t="str">
        <x:v>Y</x:v>
      </x:c>
      <x:c r="R975" t="str">
        <x:v>12.9</x:v>
      </x:c>
      <x:c r="S975" t="str">
        <x:v>941.64</x:v>
      </x:c>
      <x:c r="T975" t="str">
        <x:v>E-502 cw fouling chk &amp; revert</x:v>
      </x:c>
      <x:c r="U975" t="str">
        <x:v>A shift called for E-502 deethanizer overhead condenser, cond not pullng seen during condenser fouling. Foud cw fouling; cw side scaled. Tag plate dirty, confirmd by line up with panel. swapped to standby and repaired. unit stable now. notif made by ops, maint attended same shift.</x:v>
      </x:c>
    </x:row>
    <x:row r="976" ht="15" hidden="0" customHeight="1">
      <x:c r="A976" t="str">
        <x:v>10450975</x:v>
      </x:c>
      <x:c r="B976" t="str">
        <x:v>40870975</x:v>
      </x:c>
      <x:c r="C976" t="str">
        <x:v>2025-04-27</x:v>
      </x:c>
      <x:c r="D976" t="str">
        <x:v>2025-04-29</x:v>
      </x:c>
      <x:c r="E976" t="str">
        <x:v>2025-04-30</x:v>
      </x:c>
      <x:c r="F976" t="str">
        <x:v>U400-DEETHANIZER-500</x:v>
      </x:c>
      <x:c r="G976" t="str">
        <x:v>E-501</x:v>
      </x:c>
      <x:c r="H976" t="str">
        <x:v>deethanizer reboiler</x:v>
      </x:c>
      <x:c r="I976" t="str">
        <x:v>reboiler</x:v>
      </x:c>
      <x:c r="J976" t="str">
        <x:v>P3</x:v>
      </x:c>
      <x:c r="K976" t="str">
        <x:v>TECO</x:v>
      </x:c>
      <x:c r="L976" t="str">
        <x:v>OPS+INST</x:v>
      </x:c>
      <x:c r="M976" t="str">
        <x:v>feed_temperature_ramp</x:v>
      </x:c>
      <x:c r="N976" t="str">
        <x:v>fouled bundle</x:v>
      </x:c>
      <x:c r="O976" t="str">
        <x:v>FOULING</x:v>
      </x:c>
      <x:c r="P976" t="str">
        <x:v>PROCESS</x:v>
      </x:c>
      <x:c r="Q976" t="str">
        <x:v>N</x:v>
      </x:c>
      <x:c r="R976" t="str">
        <x:v>8.8</x:v>
      </x:c>
      <x:c r="S976" t="str">
        <x:v>7912.28</x:v>
      </x:c>
      <x:c r="T976" t="str">
        <x:v>E-501 fouled bundle asap</x:v>
      </x:c>
      <x:c r="U976" t="str">
        <x:v>night called for E-501 deethanizer reboiler, rb duty up seen during feed temperature ramp. Foud fouled bundle; bottoms side dirty. swapped to standby and repaired. still little hunting but acceptable. notif made by ops, maint attended same shift.</x:v>
      </x:c>
    </x:row>
    <x:row r="977" ht="15" hidden="0" customHeight="1">
      <x:c r="A977" t="str">
        <x:v>10450976</x:v>
      </x:c>
      <x:c r="B977" t="str">
        <x:v>40870976</x:v>
      </x:c>
      <x:c r="C977" t="str">
        <x:v>2025-04-27</x:v>
      </x:c>
      <x:c r="D977" t="str">
        <x:v>2025-04-28</x:v>
      </x:c>
      <x:c r="E977" t="str">
        <x:v>2025-04-29</x:v>
      </x:c>
      <x:c r="F977" t="str">
        <x:v>U400-DEETHANIZER-500</x:v>
      </x:c>
      <x:c r="G977" t="str">
        <x:v>TT-501B</x:v>
      </x:c>
      <x:c r="H977" t="str">
        <x:v>sensitive tray temperature tx</x:v>
      </x:c>
      <x:c r="I977" t="str">
        <x:v>instrument</x:v>
      </x:c>
      <x:c r="J977" t="str">
        <x:v>P4</x:v>
      </x:c>
      <x:c r="K977" t="str">
        <x:v>TECO</x:v>
      </x:c>
      <x:c r="L977" t="str">
        <x:v>OPS+INST</x:v>
      </x:c>
      <x:c r="M977" t="str">
        <x:v>reboiler_duty_loss</x:v>
      </x:c>
      <x:c r="N977" t="str">
        <x:v>impulse plugged</x:v>
      </x:c>
      <x:c r="O977" t="str">
        <x:v>PLUG</x:v>
      </x:c>
      <x:c r="P977" t="str">
        <x:v>PROCESS</x:v>
      </x:c>
      <x:c r="Q977" t="str">
        <x:v>N</x:v>
      </x:c>
      <x:c r="R977" t="str">
        <x:v>17.8</x:v>
      </x:c>
      <x:c r="S977" t="str">
        <x:v>2186.23</x:v>
      </x:c>
      <x:c r="T977" t="str">
        <x:v>TT-501B not ok after reboiler duty loss</x:v>
      </x:c>
      <x:c r="U977" t="str">
        <x:v>B shift called for TT-501B sensitive tray temp tx, steam/hm vavle no resp seen during rebiler duty loss. Foud impulse plugged; tap/line dirty. Line was hot so job done slow and with ops standing by. swapped to standby and repaired. temp repair only, plan shutdown job. notif made by ops, maint attended same shift.</x:v>
      </x:c>
    </x:row>
    <x:row r="978" ht="15" hidden="0" customHeight="1">
      <x:c r="A978" t="str">
        <x:v>10450977</x:v>
      </x:c>
      <x:c r="B978" t="str">
        <x:v>40870977</x:v>
      </x:c>
      <x:c r="C978" t="str">
        <x:v>2025-04-26</x:v>
      </x:c>
      <x:c r="D978" t="str">
        <x:v>2025-04-26</x:v>
      </x:c>
      <x:c r="E978" t="str">
        <x:v>2025-04-26</x:v>
      </x:c>
      <x:c r="F978" t="str">
        <x:v>U400-DEETHANIZER-500</x:v>
      </x:c>
      <x:c r="G978" t="str">
        <x:v>E-501</x:v>
      </x:c>
      <x:c r="H978" t="str">
        <x:v>deethanizer reboiler</x:v>
      </x:c>
      <x:c r="I978" t="str">
        <x:v>reboiler</x:v>
      </x:c>
      <x:c r="J978" t="str">
        <x:v>P3</x:v>
      </x:c>
      <x:c r="K978" t="str">
        <x:v>COMP</x:v>
      </x:c>
      <x:c r="L978" t="str">
        <x:v>MECH</x:v>
      </x:c>
      <x:c r="M978" t="str">
        <x:v>reboiler_duty_loss</x:v>
      </x:c>
      <x:c r="N978" t="str">
        <x:v>rb leak</x:v>
      </x:c>
      <x:c r="O978" t="str">
        <x:v>LEAK</x:v>
      </x:c>
      <x:c r="P978" t="str">
        <x:v>GASKET</x:v>
      </x:c>
      <x:c r="Q978" t="str">
        <x:v>N</x:v>
      </x:c>
      <x:c r="R978" t="str">
        <x:v>6.0</x:v>
      </x:c>
      <x:c r="S978" t="str">
        <x:v>4573.21</x:v>
      </x:c>
      <x:c r="T978" t="str">
        <x:v>E-501 rb leak again, prod upset</x:v>
      </x:c>
      <x:c r="U978" t="str">
        <x:v>days called for E-501 deethanizer reboiler, c2 in btm seen during reboiler duty loss. Foud rb leak; channel flange weep. opened strainer, cleaned black sludge. still little hunting but acceptable. notif made by ops, maint attended same shift.</x:v>
      </x:c>
    </x:row>
    <x:row r="979" ht="15" hidden="0" customHeight="1">
      <x:c r="A979" t="str">
        <x:v>10450978</x:v>
      </x:c>
      <x:c r="B979" t="str">
        <x:v>40870978</x:v>
      </x:c>
      <x:c r="C979" t="str">
        <x:v>2025-04-29</x:v>
      </x:c>
      <x:c r="D979" t="str">
        <x:v>2025-04-30</x:v>
      </x:c>
      <x:c r="E979" t="str">
        <x:v>2025-04-30</x:v>
      </x:c>
      <x:c r="F979" t="str">
        <x:v>U400-DEETHANIZER-500</x:v>
      </x:c>
      <x:c r="G979" t="str">
        <x:v>AIT-502</x:v>
      </x:c>
      <x:c r="H979" t="str">
        <x:v>bottoms C3+ analyzer</x:v>
      </x:c>
      <x:c r="I979" t="str">
        <x:v>analyzer</x:v>
      </x:c>
      <x:c r="J979" t="str">
        <x:v>P2</x:v>
      </x:c>
      <x:c r="K979" t="str">
        <x:v>CLSD</x:v>
      </x:c>
      <x:c r="L979" t="str">
        <x:v>INST</x:v>
      </x:c>
      <x:c r="M979" t="str">
        <x:v>feed_composition_shift</x:v>
      </x:c>
      <x:c r="N979" t="str">
        <x:v>condensate in sample</x:v>
      </x:c>
      <x:c r="O979" t="str">
        <x:v>LIQ_CARRY</x:v>
      </x:c>
      <x:c r="P979" t="str">
        <x:v>SAMPLE</x:v>
      </x:c>
      <x:c r="Q979" t="str">
        <x:v>N</x:v>
      </x:c>
      <x:c r="R979" t="str">
        <x:v>4.5</x:v>
      </x:c>
      <x:c r="S979" t="str">
        <x:v>2636.04</x:v>
      </x:c>
      <x:c r="T979" t="str">
        <x:v>AIT-502 condensate in sample again, prod upset</x:v>
      </x:c>
      <x:c r="U979" t="str">
        <x:v>night called for AIT-502 bottoms C3+ analyzer, ovhd c3 slip seen during feed composition shift. Foud condensate in sample; knockout pot full. History shows same complain last mnth. replaced positioner tubing and retuned small. unit stable now. notif made by ops, maint attended same shift.</x:v>
      </x:c>
    </x:row>
    <x:row r="980" ht="15" hidden="0" customHeight="1">
      <x:c r="A980" t="str">
        <x:v>10450979</x:v>
      </x:c>
      <x:c r="B980" t="str">
        <x:v>40870979</x:v>
      </x:c>
      <x:c r="C980" t="str">
        <x:v>2025-04-30</x:v>
      </x:c>
      <x:c r="D980" t="str">
        <x:v>2025-04-30</x:v>
      </x:c>
      <x:c r="E980" t="str">
        <x:v>2025-04-30</x:v>
      </x:c>
      <x:c r="F980" t="str">
        <x:v>U400-DEETHANIZER-500</x:v>
      </x:c>
      <x:c r="G980" t="str">
        <x:v>TV-501</x:v>
      </x:c>
      <x:c r="H980" t="str">
        <x:v>reboiler hot medium valve</x:v>
      </x:c>
      <x:c r="I980" t="str">
        <x:v>control_valve</x:v>
      </x:c>
      <x:c r="J980" t="str">
        <x:v>P3</x:v>
      </x:c>
      <x:c r="K980" t="str">
        <x:v>TECO</x:v>
      </x:c>
      <x:c r="L980" t="str">
        <x:v>OPS+INST</x:v>
      </x:c>
      <x:c r="M980" t="str">
        <x:v>reboiler_duty_loss</x:v>
      </x:c>
      <x:c r="N980" t="str">
        <x:v>stiction</x:v>
      </x:c>
      <x:c r="O980" t="str">
        <x:v>STICK</x:v>
      </x:c>
      <x:c r="P980" t="str">
        <x:v>PACKING</x:v>
      </x:c>
      <x:c r="Q980" t="str">
        <x:v>N</x:v>
      </x:c>
      <x:c r="R980" t="str">
        <x:v>17.4</x:v>
      </x:c>
      <x:c r="S980" t="str">
        <x:v>1783.85</x:v>
      </x:c>
      <x:c r="T980" t="str">
        <x:v>TV-501 stiction again, prod upset</x:v>
      </x:c>
      <x:c r="U980" t="str">
        <x:v>B shift called for TV-501 reboiler hot medium valve, c2 in btm seen during reboiler duty loss. Foud stiction; stem sticky and pos err. replaced positioner tubing and retuned small. readng close to dcs after job. notif made by ops, maint attended same shift.</x:v>
      </x:c>
    </x:row>
    <x:row r="981" ht="15" hidden="0" customHeight="1">
      <x:c r="A981" t="str">
        <x:v>10450980</x:v>
      </x:c>
      <x:c r="B981" t="str">
        <x:v>40870980</x:v>
      </x:c>
      <x:c r="C981" t="str">
        <x:v>2025-05-01</x:v>
      </x:c>
      <x:c r="D981" t="str">
        <x:v>2025-05-01</x:v>
      </x:c>
      <x:c r="E981" t="str">
        <x:v>2025-05-03</x:v>
      </x:c>
      <x:c r="F981" t="str">
        <x:v>U400-DEETHANIZER-500</x:v>
      </x:c>
      <x:c r="G981" t="str">
        <x:v>PSV-501A</x:v>
      </x:c>
      <x:c r="H981" t="str">
        <x:v>column relief valve A</x:v>
      </x:c>
      <x:c r="I981" t="str">
        <x:v>relief</x:v>
      </x:c>
      <x:c r="J981" t="str">
        <x:v>P4</x:v>
      </x:c>
      <x:c r="K981" t="str">
        <x:v>COMP</x:v>
      </x:c>
      <x:c r="L981" t="str">
        <x:v>ANLYZR</x:v>
      </x:c>
      <x:c r="M981" t="str">
        <x:v>pressure_control_fault</x:v>
      </x:c>
      <x:c r="N981" t="str">
        <x:v>seat passing</x:v>
      </x:c>
      <x:c r="O981" t="str">
        <x:v>LEAK_BY</x:v>
      </x:c>
      <x:c r="P981" t="str">
        <x:v>SEAT</x:v>
      </x:c>
      <x:c r="Q981" t="str">
        <x:v>N</x:v>
      </x:c>
      <x:c r="R981" t="str">
        <x:v>2.9</x:v>
      </x:c>
      <x:c r="S981" t="str">
        <x:v>2505.77</x:v>
      </x:c>
      <x:c r="T981" t="str">
        <x:v>PSV-501A pv not movng, seat passing</x:v>
      </x:c>
      <x:c r="U981" t="str">
        <x:v>days called for PSV-501A column relief valve A, flare valve chekd seen during press control fault. Foud seat passing; tail pipe warm. No spare in store at first, used refurb one from shop. tightened fittings, leak test ok. still little hunting but acceptable. notif made by ops, maint attended same shift.</x:v>
      </x:c>
    </x:row>
    <x:row r="982" ht="15" hidden="0" customHeight="1">
      <x:c r="A982" t="str">
        <x:v>10450981</x:v>
      </x:c>
      <x:c r="B982" t="str">
        <x:v>40870981</x:v>
      </x:c>
      <x:c r="C982" t="str">
        <x:v>2025-05-01</x:v>
      </x:c>
      <x:c r="D982" t="str">
        <x:v>2025-05-02</x:v>
      </x:c>
      <x:c r="E982" t="str">
        <x:v>2025-05-03</x:v>
      </x:c>
      <x:c r="F982" t="str">
        <x:v>U400-DEETHANIZER-500</x:v>
      </x:c>
      <x:c r="G982" t="str">
        <x:v>P-502A</x:v>
      </x:c>
      <x:c r="H982" t="str">
        <x:v>bottoms pump A</x:v>
      </x:c>
      <x:c r="I982" t="str">
        <x:v>pump</x:v>
      </x:c>
      <x:c r="J982" t="str">
        <x:v>P2</x:v>
      </x:c>
      <x:c r="K982" t="str">
        <x:v>TECO</x:v>
      </x:c>
      <x:c r="L982" t="str">
        <x:v>OPS+INST</x:v>
      </x:c>
      <x:c r="M982" t="str">
        <x:v>pressure_control_fault</x:v>
      </x:c>
      <x:c r="N982" t="str">
        <x:v>low disch press</x:v>
      </x:c>
      <x:c r="O982" t="str">
        <x:v>HYD_LOSS</x:v>
      </x:c>
      <x:c r="P982" t="str">
        <x:v>FOUL</x:v>
      </x:c>
      <x:c r="Q982" t="str">
        <x:v>N</x:v>
      </x:c>
      <x:c r="R982" t="str">
        <x:v>11.4</x:v>
      </x:c>
      <x:c r="S982" t="str">
        <x:v>15014.21</x:v>
      </x:c>
      <x:c r="T982" t="str">
        <x:v>P-502A low disch press again, prod upset</x:v>
      </x:c>
      <x:c r="U982" t="str">
        <x:v>B shift called for P-502A bottoms pump A, pv not movng seen during pressure control fault. Foud low disch press; strainer dirty or impeller wear. cleaned and put back online. no leak at handover. notif made by ops, maint attended same shift.</x:v>
      </x:c>
    </x:row>
    <x:row r="983" ht="15" hidden="0" customHeight="1">
      <x:c r="A983" t="str">
        <x:v>10450982</x:v>
      </x:c>
      <x:c r="B983" t="str">
        <x:v>40870982</x:v>
      </x:c>
      <x:c r="C983" t="str">
        <x:v>2025-05-03</x:v>
      </x:c>
      <x:c r="D983" t="str">
        <x:v>2025-05-04</x:v>
      </x:c>
      <x:c r="E983" t="str">
        <x:v>2025-05-04</x:v>
      </x:c>
      <x:c r="F983" t="str">
        <x:v>U400-DEETHANIZER-500</x:v>
      </x:c>
      <x:c r="G983" t="str">
        <x:v>LV-501</x:v>
      </x:c>
      <x:c r="H983" t="str">
        <x:v>reflux drum level valve</x:v>
      </x:c>
      <x:c r="I983" t="str">
        <x:v>control_valve</x:v>
      </x:c>
      <x:c r="J983" t="str">
        <x:v>P3</x:v>
      </x:c>
      <x:c r="K983" t="str">
        <x:v>CLSD</x:v>
      </x:c>
      <x:c r="L983" t="str">
        <x:v>VALVE</x:v>
      </x:c>
      <x:c r="M983" t="str">
        <x:v>valve_stiction</x:v>
      </x:c>
      <x:c r="N983" t="str">
        <x:v>not stroking</x:v>
      </x:c>
      <x:c r="O983" t="str">
        <x:v>NO_TRAVEL</x:v>
      </x:c>
      <x:c r="P983" t="str">
        <x:v>ACT</x:v>
      </x:c>
      <x:c r="Q983" t="str">
        <x:v>N</x:v>
      </x:c>
      <x:c r="R983" t="str">
        <x:v>16.7</x:v>
      </x:c>
      <x:c r="S983" t="str">
        <x:v>3489.4</x:v>
      </x:c>
      <x:c r="T983" t="str">
        <x:v>LV-501 not ok after vavle stiction</x:v>
      </x:c>
      <x:c r="U983" t="str">
        <x:v>night called for LV-501 reflux drum level valve, op jumps seen during valve stiction. Foud not stroking; actuator weak. Line was hot so job done slow and with ops standing by. cleaned and put back online. unit stable now. notif made by ops, maint attended same shift.</x:v>
      </x:c>
    </x:row>
    <x:row r="984" ht="15" hidden="0" customHeight="1">
      <x:c r="A984" t="str">
        <x:v>10450983</x:v>
      </x:c>
      <x:c r="B984" t="str">
        <x:v>40870983</x:v>
      </x:c>
      <x:c r="C984" t="str">
        <x:v>2025-05-05</x:v>
      </x:c>
      <x:c r="D984" t="str">
        <x:v>2025-05-05</x:v>
      </x:c>
      <x:c r="E984" t="str">
        <x:v>2025-05-06</x:v>
      </x:c>
      <x:c r="F984" t="str">
        <x:v>U400-DEETHANIZER-500</x:v>
      </x:c>
      <x:c r="G984" t="str">
        <x:v>AIT-501</x:v>
      </x:c>
      <x:c r="H984" t="str">
        <x:v>overhead C2 analyzer</x:v>
      </x:c>
      <x:c r="I984" t="str">
        <x:v>analyzer</x:v>
      </x:c>
      <x:c r="J984" t="str">
        <x:v>P4</x:v>
      </x:c>
      <x:c r="K984" t="str">
        <x:v>COMP</x:v>
      </x:c>
      <x:c r="L984" t="str">
        <x:v>OPS+INST</x:v>
      </x:c>
      <x:c r="M984" t="str">
        <x:v>pressure_control_fault</x:v>
      </x:c>
      <x:c r="N984" t="str">
        <x:v>sample plugged</x:v>
      </x:c>
      <x:c r="O984" t="str">
        <x:v>PLUG</x:v>
      </x:c>
      <x:c r="P984" t="str">
        <x:v>SAMPLE</x:v>
      </x:c>
      <x:c r="Q984" t="str">
        <x:v>N</x:v>
      </x:c>
      <x:c r="R984" t="str">
        <x:v>9.7</x:v>
      </x:c>
      <x:c r="S984" t="str">
        <x:v>6537.1</x:v>
      </x:c>
      <x:c r="T984" t="str">
        <x:v>AIT-501 sample plugged ops req</x:v>
      </x:c>
      <x:c r="U984" t="str">
        <x:v>B shift called for AIT-501 overhead C2 analyzer, pshh close call seen during pressure control fault. Foud sample plugged; fast loop low flow. No spare in store at first, used refurb one from shop. swapped to standby and repaired. need watch next feed swing. notif made by ops, maint attended same shift.</x:v>
      </x:c>
    </x:row>
    <x:row r="985" ht="15" hidden="0" customHeight="1">
      <x:c r="A985" t="str">
        <x:v>10450984</x:v>
      </x:c>
      <x:c r="B985" t="str">
        <x:v>40870984</x:v>
      </x:c>
      <x:c r="C985" t="str">
        <x:v>2025-05-06</x:v>
      </x:c>
      <x:c r="D985" t="str">
        <x:v>2025-05-07</x:v>
      </x:c>
      <x:c r="E985" t="str">
        <x:v>2025-05-07</x:v>
      </x:c>
      <x:c r="F985" t="str">
        <x:v>U400-DEETHANIZER-500</x:v>
      </x:c>
      <x:c r="G985" t="str">
        <x:v>E-503</x:v>
      </x:c>
      <x:c r="H985" t="str">
        <x:v>feed bottoms exchanger</x:v>
      </x:c>
      <x:c r="I985" t="str">
        <x:v>exchanger</x:v>
      </x:c>
      <x:c r="J985" t="str">
        <x:v>P4</x:v>
      </x:c>
      <x:c r="K985" t="str">
        <x:v>COMP</x:v>
      </x:c>
      <x:c r="L985" t="str">
        <x:v>INST</x:v>
      </x:c>
      <x:c r="M985" t="str">
        <x:v>feed_composition_shift</x:v>
      </x:c>
      <x:c r="N985" t="str">
        <x:v>temp approach bad</x:v>
      </x:c>
      <x:c r="O985" t="str">
        <x:v>PERF</x:v>
      </x:c>
      <x:c r="P985" t="str">
        <x:v>FOUL</x:v>
      </x:c>
      <x:c r="Q985" t="str">
        <x:v>N</x:v>
      </x:c>
      <x:c r="R985" t="str">
        <x:v>8.3</x:v>
      </x:c>
      <x:c r="S985" t="str">
        <x:v>8061.63</x:v>
      </x:c>
      <x:c r="T985" t="str">
        <x:v>E-503 temp approach bad again, prod upset</x:v>
      </x:c>
      <x:c r="U985" t="str">
        <x:v>days called for E-503 feed bottoms exchanger, btm heavy seen during feed composition shift. Foud temp approach bad; heat transfer loss. History shows same complain last mnth. replaced positioner tubing and retuned small. no leak at handover. notif made by ops, maint attended same shift.</x:v>
      </x:c>
    </x:row>
    <x:row r="986" ht="15" hidden="0" customHeight="1">
      <x:c r="A986" t="str">
        <x:v>10450985</x:v>
      </x:c>
      <x:c r="B986" t="str">
        <x:v>40870985</x:v>
      </x:c>
      <x:c r="C986" t="str">
        <x:v>2025-05-09</x:v>
      </x:c>
      <x:c r="D986" t="str">
        <x:v>2025-05-11</x:v>
      </x:c>
      <x:c r="E986" t="str">
        <x:v>2025-05-16</x:v>
      </x:c>
      <x:c r="F986" t="str">
        <x:v>U400-DEETHANIZER-500</x:v>
      </x:c>
      <x:c r="G986" t="str">
        <x:v>FT-502</x:v>
      </x:c>
      <x:c r="H986" t="str">
        <x:v>reflux flow transmitter</x:v>
      </x:c>
      <x:c r="I986" t="str">
        <x:v>instrument</x:v>
      </x:c>
      <x:c r="J986" t="str">
        <x:v>P3</x:v>
      </x:c>
      <x:c r="K986" t="str">
        <x:v>COMP</x:v>
      </x:c>
      <x:c r="L986" t="str">
        <x:v>ANLYZR</x:v>
      </x:c>
      <x:c r="M986" t="str">
        <x:v>feed_flow_step</x:v>
      </x:c>
      <x:c r="N986" t="str">
        <x:v>no signal</x:v>
      </x:c>
      <x:c r="O986" t="str">
        <x:v>NO_SIGNAL</x:v>
      </x:c>
      <x:c r="P986" t="str">
        <x:v>ELEC</x:v>
      </x:c>
      <x:c r="Q986" t="str">
        <x:v>N</x:v>
      </x:c>
      <x:c r="R986" t="str">
        <x:v>1.7</x:v>
      </x:c>
      <x:c r="S986" t="str">
        <x:v>338.54</x:v>
      </x:c>
      <x:c r="T986" t="str">
        <x:v>FT-502 no signal noisy</x:v>
      </x:c>
      <x:c r="U986" t="str">
        <x:v>A shift called for FT-502 reflux flow tx, feed jump seen during feed flow step. Foud no signal; 24v or card issue. changed gasket and boxed up. still little hunting but acceptable. notif made by ops, maint attended same shift.</x:v>
      </x:c>
    </x:row>
    <x:row r="987" ht="15" hidden="0" customHeight="1">
      <x:c r="A987" t="str">
        <x:v>10450986</x:v>
      </x:c>
      <x:c r="B987" t="str">
        <x:v>40870986</x:v>
      </x:c>
      <x:c r="C987" t="str">
        <x:v>2025-05-10</x:v>
      </x:c>
      <x:c r="D987" t="str">
        <x:v>2025-05-12</x:v>
      </x:c>
      <x:c r="E987" t="str">
        <x:v>2025-05-12</x:v>
      </x:c>
      <x:c r="F987" t="str">
        <x:v>U400-DEETHANIZER-500</x:v>
      </x:c>
      <x:c r="G987" t="str">
        <x:v>XV-501</x:v>
      </x:c>
      <x:c r="H987" t="str">
        <x:v>feed shutdown valve</x:v>
      </x:c>
      <x:c r="I987" t="str">
        <x:v>shutdown_valve</x:v>
      </x:c>
      <x:c r="J987" t="str">
        <x:v>P3</x:v>
      </x:c>
      <x:c r="K987" t="str">
        <x:v>TECO</x:v>
      </x:c>
      <x:c r="L987" t="str">
        <x:v>INST</x:v>
      </x:c>
      <x:c r="M987" t="str">
        <x:v>feed_temperature_ramp</x:v>
      </x:c>
      <x:c r="N987" t="str">
        <x:v>partial stroke fail</x:v>
      </x:c>
      <x:c r="O987" t="str">
        <x:v>PST_FAIL</x:v>
      </x:c>
      <x:c r="P987" t="str">
        <x:v>ACT</x:v>
      </x:c>
      <x:c r="Q987" t="str">
        <x:v>N</x:v>
      </x:c>
      <x:c r="R987" t="str">
        <x:v>4.7</x:v>
      </x:c>
      <x:c r="S987" t="str">
        <x:v>2371.64</x:v>
      </x:c>
      <x:c r="T987" t="str">
        <x:v>XV-501 not ok after feed temperature ramp</x:v>
      </x:c>
      <x:c r="U987" t="str">
        <x:v>B shift called for XV-501 feed shutdown valve, rb duty up seen during feed temperature ramp. Foud partial stroke fail; slow close/open. reset trip and monitored for 2 hrs. need watch next feed swing. notif made by ops, maint attended same shift.</x:v>
      </x:c>
    </x:row>
    <x:row r="988" ht="15" hidden="0" customHeight="1">
      <x:c r="A988" t="str">
        <x:v>10450987</x:v>
      </x:c>
      <x:c r="B988" t="str">
        <x:v>40870987</x:v>
      </x:c>
      <x:c r="C988" t="str">
        <x:v>2025-05-15</x:v>
      </x:c>
      <x:c r="D988" t="str">
        <x:v>2025-05-15</x:v>
      </x:c>
      <x:c r="E988" t="str">
        <x:v>2025-05-16</x:v>
      </x:c>
      <x:c r="F988" t="str">
        <x:v>U400-DEETHANIZER-500</x:v>
      </x:c>
      <x:c r="G988" t="str">
        <x:v>PT-501</x:v>
      </x:c>
      <x:c r="H988" t="str">
        <x:v>column overhead pressure tx</x:v>
      </x:c>
      <x:c r="I988" t="str">
        <x:v>instrument</x:v>
      </x:c>
      <x:c r="J988" t="str">
        <x:v>P3</x:v>
      </x:c>
      <x:c r="K988" t="str">
        <x:v>COMP</x:v>
      </x:c>
      <x:c r="L988" t="str">
        <x:v>OPS+INST</x:v>
      </x:c>
      <x:c r="M988" t="str">
        <x:v>pressure_control_fault</x:v>
      </x:c>
      <x:c r="N988" t="str">
        <x:v>loose wire</x:v>
      </x:c>
      <x:c r="O988" t="str">
        <x:v>SIGNAL</x:v>
      </x:c>
      <x:c r="P988" t="str">
        <x:v>ELEC</x:v>
      </x:c>
      <x:c r="Q988" t="str">
        <x:v>N</x:v>
      </x:c>
      <x:c r="R988" t="str">
        <x:v>4.8</x:v>
      </x:c>
      <x:c r="S988" t="str">
        <x:v>543.97</x:v>
      </x:c>
      <x:c r="T988" t="str">
        <x:v>PT-501 not ok after press ctrl fault</x:v>
      </x:c>
      <x:c r="U988" t="str">
        <x:v>C shift called for PT-501 column overhead pressure tx, pshh close call seen during pressure control fault. Foud loose wire; term loose. No spare in store at first, used refurb one from shop. calibrated, loop checked with CCR. unit stable now. notif made by ops, maint attended same shift.</x:v>
      </x:c>
    </x:row>
    <x:row r="989" ht="15" hidden="0" customHeight="1">
      <x:c r="A989" t="str">
        <x:v>10450988</x:v>
      </x:c>
      <x:c r="B989" t="str">
        <x:v>40870988</x:v>
      </x:c>
      <x:c r="C989" t="str">
        <x:v>2025-05-16</x:v>
      </x:c>
      <x:c r="D989" t="str">
        <x:v>2025-05-16</x:v>
      </x:c>
      <x:c r="E989" t="str">
        <x:v>2025-05-16</x:v>
      </x:c>
      <x:c r="F989" t="str">
        <x:v>U400-DEETHANIZER-500</x:v>
      </x:c>
      <x:c r="G989" t="str">
        <x:v>FT-502</x:v>
      </x:c>
      <x:c r="H989" t="str">
        <x:v>reflux flow transmitter</x:v>
      </x:c>
      <x:c r="I989" t="str">
        <x:v>instrument</x:v>
      </x:c>
      <x:c r="J989" t="str">
        <x:v>P2</x:v>
      </x:c>
      <x:c r="K989" t="str">
        <x:v>CLSD</x:v>
      </x:c>
      <x:c r="L989" t="str">
        <x:v>ANLYZR</x:v>
      </x:c>
      <x:c r="M989" t="str">
        <x:v>reflux_pump_degradation</x:v>
      </x:c>
      <x:c r="N989" t="str">
        <x:v>impulse plugged</x:v>
      </x:c>
      <x:c r="O989" t="str">
        <x:v>PLUG</x:v>
      </x:c>
      <x:c r="P989" t="str">
        <x:v>PROCESS</x:v>
      </x:c>
      <x:c r="Q989" t="str">
        <x:v>N</x:v>
      </x:c>
      <x:c r="R989" t="str">
        <x:v>15.8</x:v>
      </x:c>
      <x:c r="S989" t="str">
        <x:v>1537.35</x:v>
      </x:c>
      <x:c r="T989" t="str">
        <x:v>FT-502 impulse plugged again, prod upset</x:v>
      </x:c>
      <x:c r="U989" t="str">
        <x:v>night called for FT-502 reflux flow transmitter, low reflux seen during reflux pump degradation. Foud impulse plugged; tap/line dirty. opened strainer, cleaned black sludge. unit stable now. notif made by ops, maint attended same shift.</x:v>
      </x:c>
    </x:row>
    <x:row r="990" ht="15" hidden="0" customHeight="1">
      <x:c r="A990" t="str">
        <x:v>10450989</x:v>
      </x:c>
      <x:c r="B990" t="str">
        <x:v>40870989</x:v>
      </x:c>
      <x:c r="C990" t="str">
        <x:v>2025-05-18</x:v>
      </x:c>
      <x:c r="D990" t="str">
        <x:v>2025-05-19</x:v>
      </x:c>
      <x:c r="E990" t="str">
        <x:v>2025-05-20</x:v>
      </x:c>
      <x:c r="F990" t="str">
        <x:v>U400-DEETHANIZER-500</x:v>
      </x:c>
      <x:c r="G990" t="str">
        <x:v>E-503</x:v>
      </x:c>
      <x:c r="H990" t="str">
        <x:v>feed bottoms exchanger</x:v>
      </x:c>
      <x:c r="I990" t="str">
        <x:v>exchanger</x:v>
      </x:c>
      <x:c r="J990" t="str">
        <x:v>P2</x:v>
      </x:c>
      <x:c r="K990" t="str">
        <x:v>TECO</x:v>
      </x:c>
      <x:c r="L990" t="str">
        <x:v>E&amp;I</x:v>
      </x:c>
      <x:c r="M990" t="str">
        <x:v>feed_flow_step</x:v>
      </x:c>
      <x:c r="N990" t="str">
        <x:v>temp approach bad</x:v>
      </x:c>
      <x:c r="O990" t="str">
        <x:v>PERF</x:v>
      </x:c>
      <x:c r="P990" t="str">
        <x:v>FOUL</x:v>
      </x:c>
      <x:c r="Q990" t="str">
        <x:v>N</x:v>
      </x:c>
      <x:c r="R990" t="str">
        <x:v>13.3</x:v>
      </x:c>
      <x:c r="S990" t="str">
        <x:v>12329.01</x:v>
      </x:c>
      <x:c r="T990" t="str">
        <x:v>E-503 lvl swing, temp approach bad</x:v>
      </x:c>
      <x:c r="U990" t="str">
        <x:v>days called for E-503 feed bottoms exchanger, c2 recov down seen during feed flow step. Foud temp approach bad; heat transfer loss. History shows same complain last mnth. swapped to standby and repaired. ops says ok for now. notif made by ops, maint attended same shift.</x:v>
      </x:c>
    </x:row>
    <x:row r="991" ht="15" hidden="0" customHeight="1">
      <x:c r="A991" t="str">
        <x:v>10450990</x:v>
      </x:c>
      <x:c r="B991" t="str">
        <x:v>40870990</x:v>
      </x:c>
      <x:c r="C991" t="str">
        <x:v>2025-05-16</x:v>
      </x:c>
      <x:c r="D991" t="str">
        <x:v>2025-05-16</x:v>
      </x:c>
      <x:c r="E991" t="str">
        <x:v>2025-05-16</x:v>
      </x:c>
      <x:c r="F991" t="str">
        <x:v>U400-DEETHANIZER-500</x:v>
      </x:c>
      <x:c r="G991" t="str">
        <x:v>FV-502</x:v>
      </x:c>
      <x:c r="H991" t="str">
        <x:v>reflux flow control valve</x:v>
      </x:c>
      <x:c r="I991" t="str">
        <x:v>control_valve</x:v>
      </x:c>
      <x:c r="J991" t="str">
        <x:v>P4</x:v>
      </x:c>
      <x:c r="K991" t="str">
        <x:v>COMP</x:v>
      </x:c>
      <x:c r="L991" t="str">
        <x:v>MECH</x:v>
      </x:c>
      <x:c r="M991" t="str">
        <x:v>reflux_pump_degradation</x:v>
      </x:c>
      <x:c r="N991" t="str">
        <x:v>stiction</x:v>
      </x:c>
      <x:c r="O991" t="str">
        <x:v>STICK</x:v>
      </x:c>
      <x:c r="P991" t="str">
        <x:v>PACKING</x:v>
      </x:c>
      <x:c r="Q991" t="str">
        <x:v>N</x:v>
      </x:c>
      <x:c r="R991" t="str">
        <x:v>13.2</x:v>
      </x:c>
      <x:c r="S991" t="str">
        <x:v>5023.04</x:v>
      </x:c>
      <x:c r="T991" t="str">
        <x:v>FV-502 not ok after reflux pump degradation</x:v>
      </x:c>
      <x:c r="U991" t="str">
        <x:v>night called for FV-502 reflux flow ctrl vavle, min flow hot seen during reflux pump degradation. Foud stiction; stem sticky and pos err. No spare in store at first, used refurb one from shop. opened strainer, cleaned black sludge. unit stable now. notif made by ops, maint attended same shift.</x:v>
      </x:c>
    </x:row>
    <x:row r="992" ht="15" hidden="0" customHeight="1">
      <x:c r="A992" t="str">
        <x:v>10450991</x:v>
      </x:c>
      <x:c r="B992" t="str">
        <x:v>40870991</x:v>
      </x:c>
      <x:c r="C992" t="str">
        <x:v>2025-05-19</x:v>
      </x:c>
      <x:c r="D992" t="str">
        <x:v>2025-05-19</x:v>
      </x:c>
      <x:c r="E992" t="str">
        <x:v>2025-05-22</x:v>
      </x:c>
      <x:c r="F992" t="str">
        <x:v>U400-DEETHANIZER-500</x:v>
      </x:c>
      <x:c r="G992" t="str">
        <x:v>FV-501</x:v>
      </x:c>
      <x:c r="H992" t="str">
        <x:v>feed flow control valve</x:v>
      </x:c>
      <x:c r="I992" t="str">
        <x:v>control_valve</x:v>
      </x:c>
      <x:c r="J992" t="str">
        <x:v>P2</x:v>
      </x:c>
      <x:c r="K992" t="str">
        <x:v>TECO</x:v>
      </x:c>
      <x:c r="L992" t="str">
        <x:v>E&amp;I</x:v>
      </x:c>
      <x:c r="M992" t="str">
        <x:v>feed_flow_step</x:v>
      </x:c>
      <x:c r="N992" t="str">
        <x:v>passing</x:v>
      </x:c>
      <x:c r="O992" t="str">
        <x:v>LEAK_BY</x:v>
      </x:c>
      <x:c r="P992" t="str">
        <x:v>SEAT</x:v>
      </x:c>
      <x:c r="Q992" t="str">
        <x:v>N</x:v>
      </x:c>
      <x:c r="R992" t="str">
        <x:v>17.9</x:v>
      </x:c>
      <x:c r="S992" t="str">
        <x:v>1654.42</x:v>
      </x:c>
      <x:c r="T992" t="str">
        <x:v>chk FV-501 - passing frm ops</x:v>
      </x:c>
      <x:c r="U992" t="str">
        <x:v>A shift called for FV-501 feed flow control valve, feed jump seen during feed flow step. Foud passing; seat leak by. Could not get permit first time waiting area gas test. calibrated, loop checked with CCR. no leak at handover. notif made by ops, maint attended same shift.</x:v>
      </x:c>
    </x:row>
    <x:row r="993" ht="15" hidden="0" customHeight="1">
      <x:c r="A993" t="str">
        <x:v>10450992</x:v>
      </x:c>
      <x:c r="B993" t="str">
        <x:v>40870992</x:v>
      </x:c>
      <x:c r="C993" t="str">
        <x:v>2025-05-20</x:v>
      </x:c>
      <x:c r="D993" t="str">
        <x:v>2025-05-21</x:v>
      </x:c>
      <x:c r="E993" t="str">
        <x:v>2025-05-22</x:v>
      </x:c>
      <x:c r="F993" t="str">
        <x:v>U400-DEETHANIZER-500</x:v>
      </x:c>
      <x:c r="G993" t="str">
        <x:v>FV-502</x:v>
      </x:c>
      <x:c r="H993" t="str">
        <x:v>reflux flow control valve</x:v>
      </x:c>
      <x:c r="I993" t="str">
        <x:v>control_valve</x:v>
      </x:c>
      <x:c r="J993" t="str">
        <x:v>P3</x:v>
      </x:c>
      <x:c r="K993" t="str">
        <x:v>TECO</x:v>
      </x:c>
      <x:c r="L993" t="str">
        <x:v>MECH</x:v>
      </x:c>
      <x:c r="M993" t="str">
        <x:v>reflux_pump_degradation</x:v>
      </x:c>
      <x:c r="N993" t="str">
        <x:v>hunting loop</x:v>
      </x:c>
      <x:c r="O993" t="str">
        <x:v>CTRL_OSC</x:v>
      </x:c>
      <x:c r="P993" t="str">
        <x:v>TUNE</x:v>
      </x:c>
      <x:c r="Q993" t="str">
        <x:v>N</x:v>
      </x:c>
      <x:c r="R993" t="str">
        <x:v>7.4</x:v>
      </x:c>
      <x:c r="S993" t="str">
        <x:v>2449.25</x:v>
      </x:c>
      <x:c r="T993" t="str">
        <x:v>FV-502 hunting loop again, prod upset</x:v>
      </x:c>
      <x:c r="U993" t="str">
        <x:v>days called for FV-502 reflux flow control valve, low reflux seen during reflux pump degradation. Foud hunting loop; bad response after upset. flushed impulse/sample line. ops says ok for now. notif made by ops, maint attended same shift.</x:v>
      </x:c>
    </x:row>
    <x:row r="994" ht="15" hidden="0" customHeight="1">
      <x:c r="A994" t="str">
        <x:v>10450993</x:v>
      </x:c>
      <x:c r="B994" t="str">
        <x:v>40870993</x:v>
      </x:c>
      <x:c r="C994" t="str">
        <x:v>2025-05-20</x:v>
      </x:c>
      <x:c r="D994" t="str">
        <x:v>2025-05-20</x:v>
      </x:c>
      <x:c r="E994" t="str">
        <x:v>2025-05-21</x:v>
      </x:c>
      <x:c r="F994" t="str">
        <x:v>U400-DEETHANIZER-500</x:v>
      </x:c>
      <x:c r="G994" t="str">
        <x:v>XV-501</x:v>
      </x:c>
      <x:c r="H994" t="str">
        <x:v>feed shutdown valve</x:v>
      </x:c>
      <x:c r="I994" t="str">
        <x:v>shutdown_valve</x:v>
      </x:c>
      <x:c r="J994" t="str">
        <x:v>P3</x:v>
      </x:c>
      <x:c r="K994" t="str">
        <x:v>COMP</x:v>
      </x:c>
      <x:c r="L994" t="str">
        <x:v>E&amp;I</x:v>
      </x:c>
      <x:c r="M994" t="str">
        <x:v>valve_stiction</x:v>
      </x:c>
      <x:c r="N994" t="str">
        <x:v>partial stroke fail</x:v>
      </x:c>
      <x:c r="O994" t="str">
        <x:v>PST_FAIL</x:v>
      </x:c>
      <x:c r="P994" t="str">
        <x:v>ACT</x:v>
      </x:c>
      <x:c r="Q994" t="str">
        <x:v>N</x:v>
      </x:c>
      <x:c r="R994" t="str">
        <x:v>9.6</x:v>
      </x:c>
      <x:c r="S994" t="str">
        <x:v>1568.46</x:v>
      </x:c>
      <x:c r="T994" t="str">
        <x:v>chk XV-501 - partial stroke fail frm ops</x:v>
      </x:c>
      <x:c r="U994" t="str">
        <x:v>A shift called for XV-501 feed shutdown valve, op jumps seen during valve stiction. Foud partial stroke fail; slow close/open. swapped to standby and repaired. still little hunting but acceptable. notif made by ops, maint attended same shift.</x:v>
      </x:c>
    </x:row>
    <x:row r="995" ht="15" hidden="0" customHeight="1">
      <x:c r="A995" t="str">
        <x:v>10450994</x:v>
      </x:c>
      <x:c r="B995" t="str">
        <x:v>40870994</x:v>
      </x:c>
      <x:c r="C995" t="str">
        <x:v>2025-05-24</x:v>
      </x:c>
      <x:c r="D995" t="str">
        <x:v>2025-05-25</x:v>
      </x:c>
      <x:c r="E995" t="str">
        <x:v>2025-05-25</x:v>
      </x:c>
      <x:c r="F995" t="str">
        <x:v>U400-DEETHANIZER-500</x:v>
      </x:c>
      <x:c r="G995" t="str">
        <x:v>TV-502</x:v>
      </x:c>
      <x:c r="H995" t="str">
        <x:v>condenser cooling valve</x:v>
      </x:c>
      <x:c r="I995" t="str">
        <x:v>control_valve</x:v>
      </x:c>
      <x:c r="J995" t="str">
        <x:v>P4</x:v>
      </x:c>
      <x:c r="K995" t="str">
        <x:v>CLSD</x:v>
      </x:c>
      <x:c r="L995" t="str">
        <x:v>OPS+INST</x:v>
      </x:c>
      <x:c r="M995" t="str">
        <x:v>condenser_fouling</x:v>
      </x:c>
      <x:c r="N995" t="str">
        <x:v>not stroking</x:v>
      </x:c>
      <x:c r="O995" t="str">
        <x:v>NO_TRAVEL</x:v>
      </x:c>
      <x:c r="P995" t="str">
        <x:v>ACT</x:v>
      </x:c>
      <x:c r="Q995" t="str">
        <x:v>N</x:v>
      </x:c>
      <x:c r="R995" t="str">
        <x:v>17.2</x:v>
      </x:c>
      <x:c r="S995" t="str">
        <x:v>3342.18</x:v>
      </x:c>
      <x:c r="T995" t="str">
        <x:v>TV-502 not ok after condenser fouling</x:v>
      </x:c>
      <x:c r="U995" t="str">
        <x:v>days called for TV-502 condenser cooling valve, cond not pullng seen during condenser fouling. Foud not stroking; actuator weak. changed gasket and boxed up. no leak at handover. notif made by ops, maint attended same shift.</x:v>
      </x:c>
    </x:row>
    <x:row r="996" ht="15" hidden="0" customHeight="1">
      <x:c r="A996" t="str">
        <x:v>10450995</x:v>
      </x:c>
      <x:c r="B996" t="str">
        <x:v>40870995</x:v>
      </x:c>
      <x:c r="C996" t="str">
        <x:v>2025-05-26</x:v>
      </x:c>
      <x:c r="D996" t="str">
        <x:v>2025-05-26</x:v>
      </x:c>
      <x:c r="E996" t="str">
        <x:v>2025-05-27</x:v>
      </x:c>
      <x:c r="F996" t="str">
        <x:v>U400-DEETHANIZER-500</x:v>
      </x:c>
      <x:c r="G996" t="str">
        <x:v>E-502</x:v>
      </x:c>
      <x:c r="H996" t="str">
        <x:v>deethanizer overhead condenser</x:v>
      </x:c>
      <x:c r="I996" t="str">
        <x:v>condenser</x:v>
      </x:c>
      <x:c r="J996" t="str">
        <x:v>P3</x:v>
      </x:c>
      <x:c r="K996" t="str">
        <x:v>CLSD</x:v>
      </x:c>
      <x:c r="L996" t="str">
        <x:v>E&amp;I</x:v>
      </x:c>
      <x:c r="M996" t="str">
        <x:v>condenser_fouling</x:v>
      </x:c>
      <x:c r="N996" t="str">
        <x:v>cw fouling</x:v>
      </x:c>
      <x:c r="O996" t="str">
        <x:v>FOULING</x:v>
      </x:c>
      <x:c r="P996" t="str">
        <x:v>UTILITY</x:v>
      </x:c>
      <x:c r="Q996" t="str">
        <x:v>N</x:v>
      </x:c>
      <x:c r="R996" t="str">
        <x:v>15.6</x:v>
      </x:c>
      <x:c r="S996" t="str">
        <x:v>6280.16</x:v>
      </x:c>
      <x:c r="T996" t="str">
        <x:v>E-502 cw fouling again, prod upset</x:v>
      </x:c>
      <x:c r="U996" t="str">
        <x:v>days called for E-502 deethanizer overhead condnsr, high ovhd press seen during condnsr fouling. Foud cw fouling; cw side scaled. History shows same complain last mnth. opened strainer, cleaned black sludge. readng close to dcs after job. notif made by ops, maint attended same shift.</x:v>
      </x:c>
    </x:row>
    <x:row r="997" ht="15" hidden="0" customHeight="1">
      <x:c r="A997" t="str">
        <x:v>10450996</x:v>
      </x:c>
      <x:c r="B997" t="str">
        <x:v>40870996</x:v>
      </x:c>
      <x:c r="C997" t="str">
        <x:v>2025-05-27</x:v>
      </x:c>
      <x:c r="D997" t="str">
        <x:v>2025-05-27</x:v>
      </x:c>
      <x:c r="E997" t="str">
        <x:v>2025-05-28</x:v>
      </x:c>
      <x:c r="F997" t="str">
        <x:v>U400-DEETHANIZER-500</x:v>
      </x:c>
      <x:c r="G997" t="str">
        <x:v>FV-502</x:v>
      </x:c>
      <x:c r="H997" t="str">
        <x:v>reflux flow control valve</x:v>
      </x:c>
      <x:c r="I997" t="str">
        <x:v>control_valve</x:v>
      </x:c>
      <x:c r="J997" t="str">
        <x:v>P4</x:v>
      </x:c>
      <x:c r="K997" t="str">
        <x:v>COMP</x:v>
      </x:c>
      <x:c r="L997" t="str">
        <x:v>ROT</x:v>
      </x:c>
      <x:c r="M997" t="str">
        <x:v>valve_stiction</x:v>
      </x:c>
      <x:c r="N997" t="str">
        <x:v>air leak</x:v>
      </x:c>
      <x:c r="O997" t="str">
        <x:v>AIR_LEAK</x:v>
      </x:c>
      <x:c r="P997" t="str">
        <x:v>TUBING</x:v>
      </x:c>
      <x:c r="Q997" t="str">
        <x:v>N</x:v>
      </x:c>
      <x:c r="R997" t="str">
        <x:v>16.8</x:v>
      </x:c>
      <x:c r="S997" t="str">
        <x:v>925.1</x:v>
      </x:c>
      <x:c r="T997" t="str">
        <x:v>FV-502 op jumps, air leak</x:v>
      </x:c>
      <x:c r="U997" t="str">
        <x:v>B shift called for FV-502 reflux flow control vavle, air leak seen during vavle stiction. Foud air leak; positioner supply drop. Line was hot so job done slow and with ops standing by. changed gasket and boxed up. temp repair only, plan shutdown job. notif made by ops, maint attended same shift.</x:v>
      </x:c>
    </x:row>
    <x:row r="998" ht="15" hidden="0" customHeight="1">
      <x:c r="A998" t="str">
        <x:v>10450997</x:v>
      </x:c>
      <x:c r="B998" t="str">
        <x:v>40870997</x:v>
      </x:c>
      <x:c r="C998" t="str">
        <x:v>2025-05-29</x:v>
      </x:c>
      <x:c r="D998" t="str">
        <x:v>2025-05-29</x:v>
      </x:c>
      <x:c r="E998" t="str">
        <x:v>2025-05-31</x:v>
      </x:c>
      <x:c r="F998" t="str">
        <x:v>U400-DEETHANIZER-500</x:v>
      </x:c>
      <x:c r="G998" t="str">
        <x:v>P-501B</x:v>
      </x:c>
      <x:c r="H998" t="str">
        <x:v>reflux pump B</x:v>
      </x:c>
      <x:c r="I998" t="str">
        <x:v>pump</x:v>
      </x:c>
      <x:c r="J998" t="str">
        <x:v>P2</x:v>
      </x:c>
      <x:c r="K998" t="str">
        <x:v>TECO</x:v>
      </x:c>
      <x:c r="L998" t="str">
        <x:v>OPS+INST</x:v>
      </x:c>
      <x:c r="M998" t="str">
        <x:v>reflux_pump_degradation</x:v>
      </x:c>
      <x:c r="N998" t="str">
        <x:v>vib high</x:v>
      </x:c>
      <x:c r="O998" t="str">
        <x:v>VIB</x:v>
      </x:c>
      <x:c r="P998" t="str">
        <x:v>ALIGN</x:v>
      </x:c>
      <x:c r="Q998" t="str">
        <x:v>N</x:v>
      </x:c>
      <x:c r="R998" t="str">
        <x:v>14.8</x:v>
      </x:c>
      <x:c r="S998" t="str">
        <x:v>13025.4</x:v>
      </x:c>
      <x:c r="T998" t="str">
        <x:v>P-501B vib high temp fix</x:v>
      </x:c>
      <x:c r="U998" t="str">
        <x:v>night called for P-501B reflux pump B, seal weep seen during reflux pump degradation. Foud vib high; coupling align or cavitation. History shows same complain last mnth. swapped to standby and repaired. still little hunting but acceptable. notif made by ops, maint attended same shift.</x:v>
      </x:c>
    </x:row>
    <x:row r="999" ht="15" hidden="0" customHeight="1">
      <x:c r="A999" t="str">
        <x:v>10450998</x:v>
      </x:c>
      <x:c r="B999" t="str">
        <x:v>40870998</x:v>
      </x:c>
      <x:c r="C999" t="str">
        <x:v>2025-05-28</x:v>
      </x:c>
      <x:c r="D999" t="str">
        <x:v>2025-05-28</x:v>
      </x:c>
      <x:c r="E999" t="str">
        <x:v>2025-06-02</x:v>
      </x:c>
      <x:c r="F999" t="str">
        <x:v>U400-DEETHANIZER-500</x:v>
      </x:c>
      <x:c r="G999" t="str">
        <x:v>P-501B</x:v>
      </x:c>
      <x:c r="H999" t="str">
        <x:v>reflux pump B</x:v>
      </x:c>
      <x:c r="I999" t="str">
        <x:v>pump</x:v>
      </x:c>
      <x:c r="J999" t="str">
        <x:v>P2</x:v>
      </x:c>
      <x:c r="K999" t="str">
        <x:v>TECO</x:v>
      </x:c>
      <x:c r="L999" t="str">
        <x:v>VALVE</x:v>
      </x:c>
      <x:c r="M999" t="str">
        <x:v>reflux_pump_degradation</x:v>
      </x:c>
      <x:c r="N999" t="str">
        <x:v>motor trip</x:v>
      </x:c>
      <x:c r="O999" t="str">
        <x:v>MOTOR</x:v>
      </x:c>
      <x:c r="P999" t="str">
        <x:v>ELEC</x:v>
      </x:c>
      <x:c r="Q999" t="str">
        <x:v>Y</x:v>
      </x:c>
      <x:c r="R999" t="str">
        <x:v>12.5</x:v>
      </x:c>
      <x:c r="S999" t="str">
        <x:v>7576.38</x:v>
      </x:c>
      <x:c r="T999" t="str">
        <x:v>P-501B motor trip after upset</x:v>
      </x:c>
      <x:c r="U999" t="str">
        <x:v>night called for P-501B reflux pump B, min flow hot seen during reflux pump degradation. Foud motor trip; overload trip after upset. swapped to standby and repaired. ops says ok for now. notif made by ops, maint attended same shift.</x:v>
      </x:c>
    </x:row>
    <x:row r="1000" ht="15" hidden="0" customHeight="1">
      <x:c r="A1000" t="str">
        <x:v>10450999</x:v>
      </x:c>
      <x:c r="B1000" t="str">
        <x:v>40870999</x:v>
      </x:c>
      <x:c r="C1000" t="str">
        <x:v>2025-05-29</x:v>
      </x:c>
      <x:c r="D1000" t="str">
        <x:v>2025-05-29</x:v>
      </x:c>
      <x:c r="E1000" t="str">
        <x:v>2025-05-31</x:v>
      </x:c>
      <x:c r="F1000" t="str">
        <x:v>U400-DEETHANIZER-500</x:v>
      </x:c>
      <x:c r="G1000" t="str">
        <x:v>FV-501</x:v>
      </x:c>
      <x:c r="H1000" t="str">
        <x:v>feed flow control valve</x:v>
      </x:c>
      <x:c r="I1000" t="str">
        <x:v>control_valve</x:v>
      </x:c>
      <x:c r="J1000" t="str">
        <x:v>P4</x:v>
      </x:c>
      <x:c r="K1000" t="str">
        <x:v>TECO</x:v>
      </x:c>
      <x:c r="L1000" t="str">
        <x:v>OPS+MECH</x:v>
      </x:c>
      <x:c r="M1000" t="str">
        <x:v>feed_flow_step</x:v>
      </x:c>
      <x:c r="N1000" t="str">
        <x:v>stiction</x:v>
      </x:c>
      <x:c r="O1000" t="str">
        <x:v>STICK</x:v>
      </x:c>
      <x:c r="P1000" t="str">
        <x:v>PACKING</x:v>
      </x:c>
      <x:c r="Q1000" t="str">
        <x:v>N</x:v>
      </x:c>
      <x:c r="R1000" t="str">
        <x:v>14.6</x:v>
      </x:c>
      <x:c r="S1000" t="str">
        <x:v>4705.83</x:v>
      </x:c>
      <x:c r="T1000" t="str">
        <x:v>FV-501 not ok after feed flow step</x:v>
      </x:c>
      <x:c r="U1000" t="str">
        <x:v>A shift called for FV-501 feed flow control vavle, colmn dp high seen during feed flow step. Foud stiction; stem sticky and pos err. No spare in store at first, used refurb one from shop. flushed impulse/sample line. unit stable now. notif made by ops, maint attended same shift.</x:v>
      </x:c>
    </x:row>
    <x:row r="1001" ht="15" hidden="0" customHeight="1">
      <x:c r="A1001" t="str">
        <x:v>10451000</x:v>
      </x:c>
      <x:c r="B1001" t="str">
        <x:v>40871000</x:v>
      </x:c>
      <x:c r="C1001" t="str">
        <x:v>2025-06-03</x:v>
      </x:c>
      <x:c r="D1001" t="str">
        <x:v>2025-06-04</x:v>
      </x:c>
      <x:c r="E1001" t="str">
        <x:v>2025-06-07</x:v>
      </x:c>
      <x:c r="F1001" t="str">
        <x:v>U400-DEETHANIZER-500</x:v>
      </x:c>
      <x:c r="G1001" t="str">
        <x:v>E-503</x:v>
      </x:c>
      <x:c r="H1001" t="str">
        <x:v>feed bottoms exchanger</x:v>
      </x:c>
      <x:c r="I1001" t="str">
        <x:v>exchanger</x:v>
      </x:c>
      <x:c r="J1001" t="str">
        <x:v>P2</x:v>
      </x:c>
      <x:c r="K1001" t="str">
        <x:v>COMP</x:v>
      </x:c>
      <x:c r="L1001" t="str">
        <x:v>MECH</x:v>
      </x:c>
      <x:c r="M1001" t="str">
        <x:v>feed_temperature_ramp</x:v>
      </x:c>
      <x:c r="N1001" t="str">
        <x:v>plugged pass</x:v>
      </x:c>
      <x:c r="O1001" t="str">
        <x:v>PLUG</x:v>
      </x:c>
      <x:c r="P1001" t="str">
        <x:v>FOUL</x:v>
      </x:c>
      <x:c r="Q1001" t="str">
        <x:v>N</x:v>
      </x:c>
      <x:c r="R1001" t="str">
        <x:v>1.8</x:v>
      </x:c>
      <x:c r="S1001" t="str">
        <x:v>4635.55</x:v>
      </x:c>
      <x:c r="T1001" t="str">
        <x:v>E-503 plugged pass again, prod upset</x:v>
      </x:c>
      <x:c r="U1001" t="str">
        <x:v>night called for E-503 feed bottoms exchanger, tray temp drift seen during feed temperature ramp. Foud plugged pass; flow restricted. swapped to standby and repaired. unit stable now. notif made by ops, maint attended same shift.</x:v>
      </x:c>
    </x:row>
    <x:row r="1002" ht="15" hidden="0" customHeight="1">
      <x:c r="A1002" t="str">
        <x:v>10451001</x:v>
      </x:c>
      <x:c r="B1002" t="str">
        <x:v>40871001</x:v>
      </x:c>
      <x:c r="C1002" t="str">
        <x:v>2025-06-01</x:v>
      </x:c>
      <x:c r="D1002" t="str">
        <x:v>2025-06-01</x:v>
      </x:c>
      <x:c r="E1002" t="str">
        <x:v>2025-06-03</x:v>
      </x:c>
      <x:c r="F1002" t="str">
        <x:v>U400-DEETHANIZER-500</x:v>
      </x:c>
      <x:c r="G1002" t="str">
        <x:v>LV-502</x:v>
      </x:c>
      <x:c r="H1002" t="str">
        <x:v>bottoms level valve</x:v>
      </x:c>
      <x:c r="I1002" t="str">
        <x:v>control_valve</x:v>
      </x:c>
      <x:c r="J1002" t="str">
        <x:v>P4</x:v>
      </x:c>
      <x:c r="K1002" t="str">
        <x:v>CLSD</x:v>
      </x:c>
      <x:c r="L1002" t="str">
        <x:v>VALVE</x:v>
      </x:c>
      <x:c r="M1002" t="str">
        <x:v>valve_stiction</x:v>
      </x:c>
      <x:c r="N1002" t="str">
        <x:v>hunting loop</x:v>
      </x:c>
      <x:c r="O1002" t="str">
        <x:v>CTRL_OSC</x:v>
      </x:c>
      <x:c r="P1002" t="str">
        <x:v>TUNE</x:v>
      </x:c>
      <x:c r="Q1002" t="str">
        <x:v>N</x:v>
      </x:c>
      <x:c r="R1002" t="str">
        <x:v>15.7</x:v>
      </x:c>
      <x:c r="S1002" t="str">
        <x:v>3539.83</x:v>
      </x:c>
      <x:c r="T1002" t="str">
        <x:v>LV-502 hunting loop pls chk</x:v>
      </x:c>
      <x:c r="U1002" t="str">
        <x:v>A shift called for LV-502 bottoms level valve, loop cycling seen during valve stiction. Foud hunting loop; bad response after upset. No spare in store at first, used refurb one from shop. calibrated, loop chekd with CCR. unit stable now. notif made by ops, maint attended same shift.</x:v>
      </x:c>
    </x:row>
    <x:row r="1003" ht="15" hidden="0" customHeight="1">
      <x:c r="A1003" t="str">
        <x:v>10451002</x:v>
      </x:c>
      <x:c r="B1003" t="str">
        <x:v>40871002</x:v>
      </x:c>
      <x:c r="C1003" t="str">
        <x:v>2025-06-04</x:v>
      </x:c>
      <x:c r="D1003" t="str">
        <x:v>2025-06-05</x:v>
      </x:c>
      <x:c r="E1003" t="str">
        <x:v>2025-06-05</x:v>
      </x:c>
      <x:c r="F1003" t="str">
        <x:v>U400-DEETHANIZER-500</x:v>
      </x:c>
      <x:c r="G1003" t="str">
        <x:v>AIT-501</x:v>
      </x:c>
      <x:c r="H1003" t="str">
        <x:v>overhead C2 analyzer</x:v>
      </x:c>
      <x:c r="I1003" t="str">
        <x:v>analyzer</x:v>
      </x:c>
      <x:c r="J1003" t="str">
        <x:v>P3</x:v>
      </x:c>
      <x:c r="K1003" t="str">
        <x:v>COMP</x:v>
      </x:c>
      <x:c r="L1003" t="str">
        <x:v>INST</x:v>
      </x:c>
      <x:c r="M1003" t="str">
        <x:v>feed_composition_shift</x:v>
      </x:c>
      <x:c r="N1003" t="str">
        <x:v>condensate in sample</x:v>
      </x:c>
      <x:c r="O1003" t="str">
        <x:v>LIQ_CARRY</x:v>
      </x:c>
      <x:c r="P1003" t="str">
        <x:v>SAMPLE</x:v>
      </x:c>
      <x:c r="Q1003" t="str">
        <x:v>N</x:v>
      </x:c>
      <x:c r="R1003" t="str">
        <x:v>15.2</x:v>
      </x:c>
      <x:c r="S1003" t="str">
        <x:v>4699.92</x:v>
      </x:c>
      <x:c r="T1003" t="str">
        <x:v>AIT-501 quality bad, condensate in sample</x:v>
      </x:c>
      <x:c r="U1003" t="str">
        <x:v>days called for AIT-501 overhead C2 analyzer, anlyzr off seen during feed composition shift. Foud condensate in sample; knockout pot full. Could not get permit first time waiting area gas test. calibrated, loop checked with CCR. no leak at handover. notif made by ops, maint attended same shift.</x:v>
      </x:c>
    </x:row>
    <x:row r="1004" ht="15" hidden="0" customHeight="1">
      <x:c r="A1004" t="str">
        <x:v>10451003</x:v>
      </x:c>
      <x:c r="B1004" t="str">
        <x:v>40871003</x:v>
      </x:c>
      <x:c r="C1004" t="str">
        <x:v>2025-06-03</x:v>
      </x:c>
      <x:c r="D1004" t="str">
        <x:v>2025-06-04</x:v>
      </x:c>
      <x:c r="E1004" t="str">
        <x:v>2025-06-05</x:v>
      </x:c>
      <x:c r="F1004" t="str">
        <x:v>U400-DEETHANIZER-500</x:v>
      </x:c>
      <x:c r="G1004" t="str">
        <x:v>LT-501</x:v>
      </x:c>
      <x:c r="H1004" t="str">
        <x:v>reflux drum level tx</x:v>
      </x:c>
      <x:c r="I1004" t="str">
        <x:v>instrument</x:v>
      </x:c>
      <x:c r="J1004" t="str">
        <x:v>P3</x:v>
      </x:c>
      <x:c r="K1004" t="str">
        <x:v>CLSD</x:v>
      </x:c>
      <x:c r="L1004" t="str">
        <x:v>E&amp;I</x:v>
      </x:c>
      <x:c r="M1004" t="str">
        <x:v>valve_stiction</x:v>
      </x:c>
      <x:c r="N1004" t="str">
        <x:v>loose wire</x:v>
      </x:c>
      <x:c r="O1004" t="str">
        <x:v>SIGNAL</x:v>
      </x:c>
      <x:c r="P1004" t="str">
        <x:v>ELEC</x:v>
      </x:c>
      <x:c r="Q1004" t="str">
        <x:v>N</x:v>
      </x:c>
      <x:c r="R1004" t="str">
        <x:v>11.0</x:v>
      </x:c>
      <x:c r="S1004" t="str">
        <x:v>4496.47</x:v>
      </x:c>
      <x:c r="T1004" t="str">
        <x:v>LT-501 valve sticking, loose wire</x:v>
      </x:c>
      <x:c r="U1004" t="str">
        <x:v>days called for LT-501 rflx drum level tx, loop cycling seen during vavle stiction. Foud loose wire; term loose. stroke tested, response better. need watch next feed swing. notif made by ops, maint attended same shift.</x:v>
      </x:c>
    </x:row>
    <x:row r="1005" ht="15" hidden="0" customHeight="1">
      <x:c r="A1005" t="str">
        <x:v>10451004</x:v>
      </x:c>
      <x:c r="B1005" t="str">
        <x:v>40871004</x:v>
      </x:c>
      <x:c r="C1005" t="str">
        <x:v>2025-06-09</x:v>
      </x:c>
      <x:c r="D1005" t="str">
        <x:v>2025-06-09</x:v>
      </x:c>
      <x:c r="E1005" t="str">
        <x:v>2025-06-10</x:v>
      </x:c>
      <x:c r="F1005" t="str">
        <x:v>U400-DEETHANIZER-500</x:v>
      </x:c>
      <x:c r="G1005" t="str">
        <x:v>P-501B</x:v>
      </x:c>
      <x:c r="H1005" t="str">
        <x:v>reflux pump B</x:v>
      </x:c>
      <x:c r="I1005" t="str">
        <x:v>pump</x:v>
      </x:c>
      <x:c r="J1005" t="str">
        <x:v>P1</x:v>
      </x:c>
      <x:c r="K1005" t="str">
        <x:v>TECO</x:v>
      </x:c>
      <x:c r="L1005" t="str">
        <x:v>INST</x:v>
      </x:c>
      <x:c r="M1005" t="str">
        <x:v>pressure_control_fault</x:v>
      </x:c>
      <x:c r="N1005" t="str">
        <x:v>bearing hot</x:v>
      </x:c>
      <x:c r="O1005" t="str">
        <x:v>BRG</x:v>
      </x:c>
      <x:c r="P1005" t="str">
        <x:v>WEAR</x:v>
      </x:c>
      <x:c r="Q1005" t="str">
        <x:v>N</x:v>
      </x:c>
      <x:c r="R1005" t="str">
        <x:v>10.6</x:v>
      </x:c>
      <x:c r="S1005" t="str">
        <x:v>9144.54</x:v>
      </x:c>
      <x:c r="T1005" t="str">
        <x:v>P-501B flare valve checked, bearing hot</x:v>
      </x:c>
      <x:c r="U1005" t="str">
        <x:v>night called for P-501B rflx pump B, pv not movng seen during pressure ctrl fault. Foud bearing hot; brg rough, lube dark. swapped to standby and repaired. temp repair only, plan shutdown job. notif made by ops, maint attended same shift.</x:v>
      </x:c>
    </x:row>
    <x:row r="1006" ht="15" hidden="0" customHeight="1">
      <x:c r="A1006" t="str">
        <x:v>10451005</x:v>
      </x:c>
      <x:c r="B1006" t="str">
        <x:v>40871005</x:v>
      </x:c>
      <x:c r="C1006" t="str">
        <x:v>2025-06-08</x:v>
      </x:c>
      <x:c r="D1006" t="str">
        <x:v>2025-06-08</x:v>
      </x:c>
      <x:c r="E1006" t="str">
        <x:v>2025-06-11</x:v>
      </x:c>
      <x:c r="F1006" t="str">
        <x:v>U400-DEETHANIZER-500</x:v>
      </x:c>
      <x:c r="G1006" t="str">
        <x:v>P-501A</x:v>
      </x:c>
      <x:c r="H1006" t="str">
        <x:v>reflux pump A</x:v>
      </x:c>
      <x:c r="I1006" t="str">
        <x:v>pump</x:v>
      </x:c>
      <x:c r="J1006" t="str">
        <x:v>P3</x:v>
      </x:c>
      <x:c r="K1006" t="str">
        <x:v>CLSD</x:v>
      </x:c>
      <x:c r="L1006" t="str">
        <x:v>OPS+MECH</x:v>
      </x:c>
      <x:c r="M1006" t="str">
        <x:v>reflux_pump_degradation</x:v>
      </x:c>
      <x:c r="N1006" t="str">
        <x:v>motor trip</x:v>
      </x:c>
      <x:c r="O1006" t="str">
        <x:v>MOTOR</x:v>
      </x:c>
      <x:c r="P1006" t="str">
        <x:v>ELEC</x:v>
      </x:c>
      <x:c r="Q1006" t="str">
        <x:v>N</x:v>
      </x:c>
      <x:c r="R1006" t="str">
        <x:v>4.5</x:v>
      </x:c>
      <x:c r="S1006" t="str">
        <x:v>15371.28</x:v>
      </x:c>
      <x:c r="T1006" t="str">
        <x:v>P-501A motor trip pls chk</x:v>
      </x:c>
      <x:c r="U1006" t="str">
        <x:v>A shift called for P-501A reflux pump A, pump vib seen during reflux pump degradation. Foud motor trip; overload trip after upset. cleaned and put back online. ops says ok for now. notif made by ops, maint attended same shift.</x:v>
      </x:c>
    </x:row>
    <x:row r="1007" ht="15" hidden="0" customHeight="1">
      <x:c r="A1007" t="str">
        <x:v>10451006</x:v>
      </x:c>
      <x:c r="B1007" t="str">
        <x:v>40871006</x:v>
      </x:c>
      <x:c r="C1007" t="str">
        <x:v>2025-06-12</x:v>
      </x:c>
      <x:c r="D1007" t="str">
        <x:v>2025-06-14</x:v>
      </x:c>
      <x:c r="E1007" t="str">
        <x:v>2025-06-15</x:v>
      </x:c>
      <x:c r="F1007" t="str">
        <x:v>U400-DEETHANIZER-500</x:v>
      </x:c>
      <x:c r="G1007" t="str">
        <x:v>FV-502</x:v>
      </x:c>
      <x:c r="H1007" t="str">
        <x:v>reflux flow control valve</x:v>
      </x:c>
      <x:c r="I1007" t="str">
        <x:v>control_valve</x:v>
      </x:c>
      <x:c r="J1007" t="str">
        <x:v>P3</x:v>
      </x:c>
      <x:c r="K1007" t="str">
        <x:v>COMP</x:v>
      </x:c>
      <x:c r="L1007" t="str">
        <x:v>OPS+INST</x:v>
      </x:c>
      <x:c r="M1007" t="str">
        <x:v>reflux_pump_degradation</x:v>
      </x:c>
      <x:c r="N1007" t="str">
        <x:v>stiction</x:v>
      </x:c>
      <x:c r="O1007" t="str">
        <x:v>STICK</x:v>
      </x:c>
      <x:c r="P1007" t="str">
        <x:v>PACKING</x:v>
      </x:c>
      <x:c r="Q1007" t="str">
        <x:v>N</x:v>
      </x:c>
      <x:c r="R1007" t="str">
        <x:v>12.0</x:v>
      </x:c>
      <x:c r="S1007" t="str">
        <x:v>4747.17</x:v>
      </x:c>
      <x:c r="T1007" t="str">
        <x:v>chk FV-502 - stiction frm ops</x:v>
      </x:c>
      <x:c r="U1007" t="str">
        <x:v>C shift called for FV-502 reflux flow control valve, min flow hot seen during reflux pump degradation. Foud stiction; stem sticky and pos err. Line was hot so job done slow and with ops standing by. flushed impulse/sample line. temp repair only, plan shutdown job. notif made by ops, maint attended same shift.</x:v>
      </x:c>
    </x:row>
    <x:row r="1008" ht="15" hidden="0" customHeight="1">
      <x:c r="A1008" t="str">
        <x:v>10451007</x:v>
      </x:c>
      <x:c r="B1008" t="str">
        <x:v>40871007</x:v>
      </x:c>
      <x:c r="C1008" t="str">
        <x:v>2025-06-09</x:v>
      </x:c>
      <x:c r="D1008" t="str">
        <x:v>2025-06-11</x:v>
      </x:c>
      <x:c r="E1008" t="str">
        <x:v>2025-06-12</x:v>
      </x:c>
      <x:c r="F1008" t="str">
        <x:v>U400-DEETHANIZER-500</x:v>
      </x:c>
      <x:c r="G1008" t="str">
        <x:v>E-503</x:v>
      </x:c>
      <x:c r="H1008" t="str">
        <x:v>feed bottoms exchanger</x:v>
      </x:c>
      <x:c r="I1008" t="str">
        <x:v>exchanger</x:v>
      </x:c>
      <x:c r="J1008" t="str">
        <x:v>P3</x:v>
      </x:c>
      <x:c r="K1008" t="str">
        <x:v>CLSD</x:v>
      </x:c>
      <x:c r="L1008" t="str">
        <x:v>INST</x:v>
      </x:c>
      <x:c r="M1008" t="str">
        <x:v>feed_temperature_ramp</x:v>
      </x:c>
      <x:c r="N1008" t="str">
        <x:v>gasket weep</x:v>
      </x:c>
      <x:c r="O1008" t="str">
        <x:v>LEAK</x:v>
      </x:c>
      <x:c r="P1008" t="str">
        <x:v>GASKET</x:v>
      </x:c>
      <x:c r="Q1008" t="str">
        <x:v>N</x:v>
      </x:c>
      <x:c r="R1008" t="str">
        <x:v>10.0</x:v>
      </x:c>
      <x:c r="S1008" t="str">
        <x:v>3249.6</x:v>
      </x:c>
      <x:c r="T1008" t="str">
        <x:v>chk E-503 - gasket weep frm ops</x:v>
      </x:c>
      <x:c r="U1008" t="str">
        <x:v>C shift called for E-503 feed bottoms exchanger, feed temp high seen during feed temperature ramp. Foud gasket weep; flange sweating. reset trip and monitored for 2 hrs. need watch next feed swing. notif made by ops, maint attended same shift.</x:v>
      </x:c>
    </x:row>
    <x:row r="1009" ht="15" hidden="0" customHeight="1">
      <x:c r="A1009" t="str">
        <x:v>10451008</x:v>
      </x:c>
      <x:c r="B1009" t="str">
        <x:v>40871008</x:v>
      </x:c>
      <x:c r="C1009" t="str">
        <x:v>2025-06-14</x:v>
      </x:c>
      <x:c r="D1009" t="str">
        <x:v>2025-06-14</x:v>
      </x:c>
      <x:c r="E1009" t="str">
        <x:v>2025-06-16</x:v>
      </x:c>
      <x:c r="F1009" t="str">
        <x:v>U400-DEETHANIZER-500</x:v>
      </x:c>
      <x:c r="G1009" t="str">
        <x:v>PV-501</x:v>
      </x:c>
      <x:c r="H1009" t="str">
        <x:v>column pressure control valve</x:v>
      </x:c>
      <x:c r="I1009" t="str">
        <x:v>control_valve</x:v>
      </x:c>
      <x:c r="J1009" t="str">
        <x:v>P3</x:v>
      </x:c>
      <x:c r="K1009" t="str">
        <x:v>TECO</x:v>
      </x:c>
      <x:c r="L1009" t="str">
        <x:v>E&amp;I</x:v>
      </x:c>
      <x:c r="M1009" t="str">
        <x:v>valve_stiction</x:v>
      </x:c>
      <x:c r="N1009" t="str">
        <x:v>not stroking</x:v>
      </x:c>
      <x:c r="O1009" t="str">
        <x:v>NO_TRAVEL</x:v>
      </x:c>
      <x:c r="P1009" t="str">
        <x:v>ACT</x:v>
      </x:c>
      <x:c r="Q1009" t="str">
        <x:v>N</x:v>
      </x:c>
      <x:c r="R1009" t="str">
        <x:v>6.3</x:v>
      </x:c>
      <x:c r="S1009" t="str">
        <x:v>4064.57</x:v>
      </x:c>
      <x:c r="T1009" t="str">
        <x:v>PV-501 valve sticking, not stroking</x:v>
      </x:c>
      <x:c r="U1009" t="str">
        <x:v>A shift called for PV-501 column pressure control valve, op jumps seen during valve stiction. Foud not stroking; actuator weak. Tag plate dirty, confirmd by line up with panel. flushed impulse/sample line. readng close to dcs after job. notif made by ops, maint attended same shift.</x:v>
      </x:c>
    </x:row>
    <x:row r="1010" ht="15" hidden="0" customHeight="1">
      <x:c r="A1010" t="str">
        <x:v>10451009</x:v>
      </x:c>
      <x:c r="B1010" t="str">
        <x:v>40871009</x:v>
      </x:c>
      <x:c r="C1010" t="str">
        <x:v>2025-06-11</x:v>
      </x:c>
      <x:c r="D1010" t="str">
        <x:v>2025-06-11</x:v>
      </x:c>
      <x:c r="E1010" t="str">
        <x:v>2025-06-16</x:v>
      </x:c>
      <x:c r="F1010" t="str">
        <x:v>U400-DEETHANIZER-500</x:v>
      </x:c>
      <x:c r="G1010" t="str">
        <x:v>P-502A</x:v>
      </x:c>
      <x:c r="H1010" t="str">
        <x:v>bottoms pump A</x:v>
      </x:c>
      <x:c r="I1010" t="str">
        <x:v>pump</x:v>
      </x:c>
      <x:c r="J1010" t="str">
        <x:v>P2</x:v>
      </x:c>
      <x:c r="K1010" t="str">
        <x:v>TECO</x:v>
      </x:c>
      <x:c r="L1010" t="str">
        <x:v>VALVE</x:v>
      </x:c>
      <x:c r="M1010" t="str">
        <x:v>reflux_pump_degradation</x:v>
      </x:c>
      <x:c r="N1010" t="str">
        <x:v>seal leak</x:v>
      </x:c>
      <x:c r="O1010" t="str">
        <x:v>MECH_SEAL</x:v>
      </x:c>
      <x:c r="P1010" t="str">
        <x:v>SEAL</x:v>
      </x:c>
      <x:c r="Q1010" t="str">
        <x:v>N</x:v>
      </x:c>
      <x:c r="R1010" t="str">
        <x:v>5.1</x:v>
      </x:c>
      <x:c r="S1010" t="str">
        <x:v>2577.71</x:v>
      </x:c>
      <x:c r="T1010" t="str">
        <x:v>P-502A not ok after reflux pump degradation</x:v>
      </x:c>
      <x:c r="U1010" t="str">
        <x:v>days called for P-502A bottoms pump A, min flow hot seen during rflx pump degradation. Foud seal leak; seal face worn / dry run signs. cleaned and put back online. unit stable now. notif made by ops, maint attended same shift.</x:v>
      </x:c>
    </x:row>
    <x:row r="1011" ht="15" hidden="0" customHeight="1">
      <x:c r="A1011" t="str">
        <x:v>10451010</x:v>
      </x:c>
      <x:c r="B1011" t="str">
        <x:v>40871010</x:v>
      </x:c>
      <x:c r="C1011" t="str">
        <x:v>2025-06-16</x:v>
      </x:c>
      <x:c r="D1011" t="str">
        <x:v>2025-06-16</x:v>
      </x:c>
      <x:c r="E1011" t="str">
        <x:v>2025-06-17</x:v>
      </x:c>
      <x:c r="F1011" t="str">
        <x:v>U400-DEETHANIZER-500</x:v>
      </x:c>
      <x:c r="G1011" t="str">
        <x:v>AIT-502</x:v>
      </x:c>
      <x:c r="H1011" t="str">
        <x:v>bottoms C3+ analyzer</x:v>
      </x:c>
      <x:c r="I1011" t="str">
        <x:v>analyzer</x:v>
      </x:c>
      <x:c r="J1011" t="str">
        <x:v>P4</x:v>
      </x:c>
      <x:c r="K1011" t="str">
        <x:v>TECO</x:v>
      </x:c>
      <x:c r="L1011" t="str">
        <x:v>ANLYZR</x:v>
      </x:c>
      <x:c r="M1011" t="str">
        <x:v>feed_composition_shift</x:v>
      </x:c>
      <x:c r="N1011" t="str">
        <x:v>anlyzr drift</x:v>
      </x:c>
      <x:c r="O1011" t="str">
        <x:v>DRIFT</x:v>
      </x:c>
      <x:c r="P1011" t="str">
        <x:v>CAL_GAS</x:v>
      </x:c>
      <x:c r="Q1011" t="str">
        <x:v>N</x:v>
      </x:c>
      <x:c r="R1011" t="str">
        <x:v>3.6</x:v>
      </x:c>
      <x:c r="S1011" t="str">
        <x:v>6059.9</x:v>
      </x:c>
      <x:c r="T1011" t="str">
        <x:v>AIT-502 anlyzr off, anlyzr drift</x:v>
      </x:c>
      <x:c r="U1011" t="str">
        <x:v>A shift called for AIT-502 bottoms C3+ analyzer, ovhd c3 slip seen during feed composition shift. Foud anlyzr drift; cal gas failed. History shows same complain last mnth. reset trip and monitored for 2 hrs. ops says ok for now. notif made by ops, maint attended same shift.</x:v>
      </x:c>
    </x:row>
    <x:row r="1012" ht="15" hidden="0" customHeight="1">
      <x:c r="A1012" t="str">
        <x:v>10451011</x:v>
      </x:c>
      <x:c r="B1012" t="str">
        <x:v>40871011</x:v>
      </x:c>
      <x:c r="C1012" t="str">
        <x:v>2025-06-14</x:v>
      </x:c>
      <x:c r="D1012" t="str">
        <x:v>2025-06-16</x:v>
      </x:c>
      <x:c r="E1012" t="str">
        <x:v>2025-06-23</x:v>
      </x:c>
      <x:c r="F1012" t="str">
        <x:v>U400-DEETHANIZER-500</x:v>
      </x:c>
      <x:c r="G1012" t="str">
        <x:v>E-501</x:v>
      </x:c>
      <x:c r="H1012" t="str">
        <x:v>deethanizer reboiler</x:v>
      </x:c>
      <x:c r="I1012" t="str">
        <x:v>reboiler</x:v>
      </x:c>
      <x:c r="J1012" t="str">
        <x:v>P3</x:v>
      </x:c>
      <x:c r="K1012" t="str">
        <x:v>TECO</x:v>
      </x:c>
      <x:c r="L1012" t="str">
        <x:v>E&amp;I</x:v>
      </x:c>
      <x:c r="M1012" t="str">
        <x:v>reboiler_duty_loss</x:v>
      </x:c>
      <x:c r="N1012" t="str">
        <x:v>rb leak</x:v>
      </x:c>
      <x:c r="O1012" t="str">
        <x:v>LEAK</x:v>
      </x:c>
      <x:c r="P1012" t="str">
        <x:v>GASKET</x:v>
      </x:c>
      <x:c r="Q1012" t="str">
        <x:v>N</x:v>
      </x:c>
      <x:c r="R1012" t="str">
        <x:v>14.6</x:v>
      </x:c>
      <x:c r="S1012" t="str">
        <x:v>3511.76</x:v>
      </x:c>
      <x:c r="T1012" t="str">
        <x:v>E-501 rb leak again, prod upset</x:v>
      </x:c>
      <x:c r="U1012" t="str">
        <x:v>A shift called for E-501 deethanizer reboiler, rb circ cold seen during reboiler duty loss. Foud rb leak; channel flange weep. Could not get permit first time waiting area gas test. stroke tested, response better. ops says ok for now. notif made by ops, maint attended same shift.</x:v>
      </x:c>
    </x:row>
    <x:row r="1013" ht="15" hidden="0" customHeight="1">
      <x:c r="A1013" t="str">
        <x:v>10451012</x:v>
      </x:c>
      <x:c r="B1013" t="str">
        <x:v>40871012</x:v>
      </x:c>
      <x:c r="C1013" t="str">
        <x:v>2025-06-19</x:v>
      </x:c>
      <x:c r="D1013" t="str">
        <x:v>2025-06-20</x:v>
      </x:c>
      <x:c r="E1013" t="str">
        <x:v>2025-06-20</x:v>
      </x:c>
      <x:c r="F1013" t="str">
        <x:v>U400-DEETHANIZER-500</x:v>
      </x:c>
      <x:c r="G1013" t="str">
        <x:v>FT-502</x:v>
      </x:c>
      <x:c r="H1013" t="str">
        <x:v>reflux flow transmitter</x:v>
      </x:c>
      <x:c r="I1013" t="str">
        <x:v>instrument</x:v>
      </x:c>
      <x:c r="J1013" t="str">
        <x:v>P2</x:v>
      </x:c>
      <x:c r="K1013" t="str">
        <x:v>COMP</x:v>
      </x:c>
      <x:c r="L1013" t="str">
        <x:v>INST</x:v>
      </x:c>
      <x:c r="M1013" t="str">
        <x:v>reboiler_duty_loss</x:v>
      </x:c>
      <x:c r="N1013" t="str">
        <x:v>no signal</x:v>
      </x:c>
      <x:c r="O1013" t="str">
        <x:v>NO_SIGNAL</x:v>
      </x:c>
      <x:c r="P1013" t="str">
        <x:v>ELEC</x:v>
      </x:c>
      <x:c r="Q1013" t="str">
        <x:v>N</x:v>
      </x:c>
      <x:c r="R1013" t="str">
        <x:v>6.8</x:v>
      </x:c>
      <x:c r="S1013" t="str">
        <x:v>4318.56</x:v>
      </x:c>
      <x:c r="T1013" t="str">
        <x:v>FT-502 no signal asap</x:v>
      </x:c>
      <x:c r="U1013" t="str">
        <x:v>C shift called for FT-502 reflux flow tx, rb circ cold seen during reboiler duty loss. Foud no signal; 24v or card issue. calibrated, loop checked with CCR. ops says ok for now. notif made by ops, maint attended same shift.</x:v>
      </x:c>
    </x:row>
    <x:row r="1014" ht="15" hidden="0" customHeight="1">
      <x:c r="A1014" t="str">
        <x:v>10451013</x:v>
      </x:c>
      <x:c r="B1014" t="str">
        <x:v>40871013</x:v>
      </x:c>
      <x:c r="C1014" t="str">
        <x:v>2025-06-21</x:v>
      </x:c>
      <x:c r="D1014" t="str">
        <x:v>2025-06-22</x:v>
      </x:c>
      <x:c r="E1014" t="str">
        <x:v>2025-06-22</x:v>
      </x:c>
      <x:c r="F1014" t="str">
        <x:v>U400-DEETHANIZER-500</x:v>
      </x:c>
      <x:c r="G1014" t="str">
        <x:v>FV-502</x:v>
      </x:c>
      <x:c r="H1014" t="str">
        <x:v>reflux flow control valve</x:v>
      </x:c>
      <x:c r="I1014" t="str">
        <x:v>control_valve</x:v>
      </x:c>
      <x:c r="J1014" t="str">
        <x:v>P3</x:v>
      </x:c>
      <x:c r="K1014" t="str">
        <x:v>CLSD</x:v>
      </x:c>
      <x:c r="L1014" t="str">
        <x:v>ANLYZR</x:v>
      </x:c>
      <x:c r="M1014" t="str">
        <x:v>reflux_pump_degradation</x:v>
      </x:c>
      <x:c r="N1014" t="str">
        <x:v>not stroking</x:v>
      </x:c>
      <x:c r="O1014" t="str">
        <x:v>NO_TRAVEL</x:v>
      </x:c>
      <x:c r="P1014" t="str">
        <x:v>ACT</x:v>
      </x:c>
      <x:c r="Q1014" t="str">
        <x:v>N</x:v>
      </x:c>
      <x:c r="R1014" t="str">
        <x:v>17.5</x:v>
      </x:c>
      <x:c r="S1014" t="str">
        <x:v>4209.62</x:v>
      </x:c>
      <x:c r="T1014" t="str">
        <x:v>chk FV-502 - not stroking frm ops</x:v>
      </x:c>
      <x:c r="U1014" t="str">
        <x:v>A shift called for FV-502 reflux flow control valve, low reflux seen during reflux pump degradation. Foud not stroking; actuator weak. No spare in store at first, used refurb one from shop. cleaned and put back online. unit stable now. notif made by ops, maint attended same shift.</x:v>
      </x:c>
    </x:row>
    <x:row r="1015" ht="15" hidden="0" customHeight="1">
      <x:c r="A1015" t="str">
        <x:v>10451014</x:v>
      </x:c>
      <x:c r="B1015" t="str">
        <x:v>40871014</x:v>
      </x:c>
      <x:c r="C1015" t="str">
        <x:v>2025-06-23</x:v>
      </x:c>
      <x:c r="D1015" t="str">
        <x:v>2025-06-24</x:v>
      </x:c>
      <x:c r="E1015" t="str">
        <x:v>2025-06-25</x:v>
      </x:c>
      <x:c r="F1015" t="str">
        <x:v>U400-DEETHANIZER-500</x:v>
      </x:c>
      <x:c r="G1015" t="str">
        <x:v>E-503</x:v>
      </x:c>
      <x:c r="H1015" t="str">
        <x:v>feed bottoms exchanger</x:v>
      </x:c>
      <x:c r="I1015" t="str">
        <x:v>exchanger</x:v>
      </x:c>
      <x:c r="J1015" t="str">
        <x:v>P2</x:v>
      </x:c>
      <x:c r="K1015" t="str">
        <x:v>CLSD</x:v>
      </x:c>
      <x:c r="L1015" t="str">
        <x:v>INST</x:v>
      </x:c>
      <x:c r="M1015" t="str">
        <x:v>feed_composition_shift</x:v>
      </x:c>
      <x:c r="N1015" t="str">
        <x:v>temp approach bad</x:v>
      </x:c>
      <x:c r="O1015" t="str">
        <x:v>PERF</x:v>
      </x:c>
      <x:c r="P1015" t="str">
        <x:v>FOUL</x:v>
      </x:c>
      <x:c r="Q1015" t="str">
        <x:v>N</x:v>
      </x:c>
      <x:c r="R1015" t="str">
        <x:v>6.1</x:v>
      </x:c>
      <x:c r="S1015" t="str">
        <x:v>13906.32</x:v>
      </x:c>
      <x:c r="T1015" t="str">
        <x:v>E-503 temp approach bad again, prod upset</x:v>
      </x:c>
      <x:c r="U1015" t="str">
        <x:v>days called for E-503 feed bottoms exchanger, quality bad seen during feed composition shift. Foud temp approach bad; heat transfer loss. No spare in store at first, used refurb one from shop. changed gasket and boxed up. no leak at handover. notif made by ops, maint attended same shift.</x:v>
      </x:c>
    </x:row>
    <x:row r="1016" ht="15" hidden="0" customHeight="1">
      <x:c r="A1016" t="str">
        <x:v>10451015</x:v>
      </x:c>
      <x:c r="B1016" t="str">
        <x:v>40871015</x:v>
      </x:c>
      <x:c r="C1016" t="str">
        <x:v>2025-06-22</x:v>
      </x:c>
      <x:c r="D1016" t="str">
        <x:v>2025-06-23</x:v>
      </x:c>
      <x:c r="E1016" t="str">
        <x:v>2025-06-25</x:v>
      </x:c>
      <x:c r="F1016" t="str">
        <x:v>U400-DEETHANIZER-500</x:v>
      </x:c>
      <x:c r="G1016" t="str">
        <x:v>TV-502</x:v>
      </x:c>
      <x:c r="H1016" t="str">
        <x:v>condenser cooling valve</x:v>
      </x:c>
      <x:c r="I1016" t="str">
        <x:v>control_valve</x:v>
      </x:c>
      <x:c r="J1016" t="str">
        <x:v>P2</x:v>
      </x:c>
      <x:c r="K1016" t="str">
        <x:v>COMP</x:v>
      </x:c>
      <x:c r="L1016" t="str">
        <x:v>OPS+MECH</x:v>
      </x:c>
      <x:c r="M1016" t="str">
        <x:v>condenser_fouling</x:v>
      </x:c>
      <x:c r="N1016" t="str">
        <x:v>passing</x:v>
      </x:c>
      <x:c r="O1016" t="str">
        <x:v>LEAK_BY</x:v>
      </x:c>
      <x:c r="P1016" t="str">
        <x:v>SEAT</x:v>
      </x:c>
      <x:c r="Q1016" t="str">
        <x:v>N</x:v>
      </x:c>
      <x:c r="R1016" t="str">
        <x:v>12.4</x:v>
      </x:c>
      <x:c r="S1016" t="str">
        <x:v>1612.93</x:v>
      </x:c>
      <x:c r="T1016" t="str">
        <x:v>TV-502 drum temp hi, passing</x:v>
      </x:c>
      <x:c r="U1016" t="str">
        <x:v>night called for TV-502 condenser cooling valve, cond not pullng seen during condenser fouling. Foud passing; seat leak by. Tag plate dirty, confirmd by line up with panel. replaced positioner tubing and retuned small. unit stable now. notif made by ops, maint attended same shift.</x:v>
      </x:c>
    </x:row>
    <x:row r="1017" ht="15" hidden="0" customHeight="1">
      <x:c r="A1017" t="str">
        <x:v>10451016</x:v>
      </x:c>
      <x:c r="B1017" t="str">
        <x:v>40871016</x:v>
      </x:c>
      <x:c r="C1017" t="str">
        <x:v>2025-06-26</x:v>
      </x:c>
      <x:c r="D1017" t="str">
        <x:v>2025-06-26</x:v>
      </x:c>
      <x:c r="E1017" t="str">
        <x:v>2025-07-10</x:v>
      </x:c>
      <x:c r="F1017" t="str">
        <x:v>U400-DEETHANIZER-500</x:v>
      </x:c>
      <x:c r="G1017" t="str">
        <x:v>E-502</x:v>
      </x:c>
      <x:c r="H1017" t="str">
        <x:v>deethanizer overhead condenser</x:v>
      </x:c>
      <x:c r="I1017" t="str">
        <x:v>condenser</x:v>
      </x:c>
      <x:c r="J1017" t="str">
        <x:v>P3</x:v>
      </x:c>
      <x:c r="K1017" t="str">
        <x:v>CLSD</x:v>
      </x:c>
      <x:c r="L1017" t="str">
        <x:v>E&amp;I</x:v>
      </x:c>
      <x:c r="M1017" t="str">
        <x:v>feed_flow_step</x:v>
      </x:c>
      <x:c r="N1017" t="str">
        <x:v>high press</x:v>
      </x:c>
      <x:c r="O1017" t="str">
        <x:v>PERF</x:v>
      </x:c>
      <x:c r="P1017" t="str">
        <x:v>FOUL</x:v>
      </x:c>
      <x:c r="Q1017" t="str">
        <x:v>N</x:v>
      </x:c>
      <x:c r="R1017" t="str">
        <x:v>14.4</x:v>
      </x:c>
      <x:c r="S1017" t="str">
        <x:v>14593.41</x:v>
      </x:c>
      <x:c r="T1017" t="str">
        <x:v>E-502 not ok after feed flow step</x:v>
      </x:c>
      <x:c r="U1017" t="str">
        <x:v>B shift called for E-502 deethanizer overhead condenser, fic hunting seen during feed flow step. Foud high press; condensing duty poor. Line was hot so job done slow and with ops standing by. swapped to standby and repaired. temp repair only, plan shutdown job. notif made by ops, maint attended same shift.</x:v>
      </x:c>
    </x:row>
    <x:row r="1018" ht="15" hidden="0" customHeight="1">
      <x:c r="A1018" t="str">
        <x:v>10451017</x:v>
      </x:c>
      <x:c r="B1018" t="str">
        <x:v>40871017</x:v>
      </x:c>
      <x:c r="C1018" t="str">
        <x:v>2025-06-26</x:v>
      </x:c>
      <x:c r="D1018" t="str">
        <x:v>2025-06-26</x:v>
      </x:c>
      <x:c r="E1018" t="str">
        <x:v>2025-06-27</x:v>
      </x:c>
      <x:c r="F1018" t="str">
        <x:v>U400-DEETHANIZER-500</x:v>
      </x:c>
      <x:c r="G1018" t="str">
        <x:v>PV-501</x:v>
      </x:c>
      <x:c r="H1018" t="str">
        <x:v>column pressure control valve</x:v>
      </x:c>
      <x:c r="I1018" t="str">
        <x:v>control_valve</x:v>
      </x:c>
      <x:c r="J1018" t="str">
        <x:v>P2</x:v>
      </x:c>
      <x:c r="K1018" t="str">
        <x:v>CLSD</x:v>
      </x:c>
      <x:c r="L1018" t="str">
        <x:v>VALVE</x:v>
      </x:c>
      <x:c r="M1018" t="str">
        <x:v>reboiler_duty_loss</x:v>
      </x:c>
      <x:c r="N1018" t="str">
        <x:v>hunting loop</x:v>
      </x:c>
      <x:c r="O1018" t="str">
        <x:v>CTRL_OSC</x:v>
      </x:c>
      <x:c r="P1018" t="str">
        <x:v>TUNE</x:v>
      </x:c>
      <x:c r="Q1018" t="str">
        <x:v>Y</x:v>
      </x:c>
      <x:c r="R1018" t="str">
        <x:v>22.9</x:v>
      </x:c>
      <x:c r="S1018" t="str">
        <x:v>5113.98</x:v>
      </x:c>
      <x:c r="T1018" t="str">
        <x:v>PV-501 not ok after reboiler duty loss</x:v>
      </x:c>
      <x:c r="U1018" t="str">
        <x:v>night called for PV-501 column pressure control valve, rb circ cold seen during reboiler duty loss. Foud hunting loop; bad response after upset. tightened fittings, leak test ok. need watch next feed swing. notif made by ops, maint attended same shift.</x:v>
      </x:c>
    </x:row>
    <x:row r="1019" ht="15" hidden="0" customHeight="1">
      <x:c r="A1019" t="str">
        <x:v>10451018</x:v>
      </x:c>
      <x:c r="B1019" t="str">
        <x:v>40871018</x:v>
      </x:c>
      <x:c r="C1019" t="str">
        <x:v>2025-06-26</x:v>
      </x:c>
      <x:c r="D1019" t="str">
        <x:v>2025-06-26</x:v>
      </x:c>
      <x:c r="E1019" t="str">
        <x:v>2025-06-28</x:v>
      </x:c>
      <x:c r="F1019" t="str">
        <x:v>U400-DEETHANIZER-500</x:v>
      </x:c>
      <x:c r="G1019" t="str">
        <x:v>PT-501</x:v>
      </x:c>
      <x:c r="H1019" t="str">
        <x:v>column overhead pressure tx</x:v>
      </x:c>
      <x:c r="I1019" t="str">
        <x:v>instrument</x:v>
      </x:c>
      <x:c r="J1019" t="str">
        <x:v>P2</x:v>
      </x:c>
      <x:c r="K1019" t="str">
        <x:v>CLSD</x:v>
      </x:c>
      <x:c r="L1019" t="str">
        <x:v>ANLYZR</x:v>
      </x:c>
      <x:c r="M1019" t="str">
        <x:v>condenser_fouling</x:v>
      </x:c>
      <x:c r="N1019" t="str">
        <x:v>loose wire</x:v>
      </x:c>
      <x:c r="O1019" t="str">
        <x:v>SIGNAL</x:v>
      </x:c>
      <x:c r="P1019" t="str">
        <x:v>ELEC</x:v>
      </x:c>
      <x:c r="Q1019" t="str">
        <x:v>N</x:v>
      </x:c>
      <x:c r="R1019" t="str">
        <x:v>2.2</x:v>
      </x:c>
      <x:c r="S1019" t="str">
        <x:v>4488.21</x:v>
      </x:c>
      <x:c r="T1019" t="str">
        <x:v>PT-501 cw dt low, loose wire</x:v>
      </x:c>
      <x:c r="U1019" t="str">
        <x:v>days called for PT-501 column overhead pressure tx, cw dt low seen during condenser fouling. Foud loose wire; term loose. Tag plate dirty, confirmd by line up with panel. replaced positioner tubing and retuned small. still little hunting but acceptable. notif made by ops, maint attended same shift.</x:v>
      </x:c>
    </x:row>
    <x:row r="1020" ht="15" hidden="0" customHeight="1">
      <x:c r="A1020" t="str">
        <x:v>10451019</x:v>
      </x:c>
      <x:c r="B1020" t="str">
        <x:v>40871019</x:v>
      </x:c>
      <x:c r="C1020" t="str">
        <x:v>2025-06-26</x:v>
      </x:c>
      <x:c r="D1020" t="str">
        <x:v>2025-06-26</x:v>
      </x:c>
      <x:c r="E1020" t="str">
        <x:v>2025-06-29</x:v>
      </x:c>
      <x:c r="F1020" t="str">
        <x:v>U400-DEETHANIZER-500</x:v>
      </x:c>
      <x:c r="G1020" t="str">
        <x:v>AIT-502</x:v>
      </x:c>
      <x:c r="H1020" t="str">
        <x:v>bottoms C3+ analyzer</x:v>
      </x:c>
      <x:c r="I1020" t="str">
        <x:v>analyzer</x:v>
      </x:c>
      <x:c r="J1020" t="str">
        <x:v>P4</x:v>
      </x:c>
      <x:c r="K1020" t="str">
        <x:v>TECO</x:v>
      </x:c>
      <x:c r="L1020" t="str">
        <x:v>E&amp;I</x:v>
      </x:c>
      <x:c r="M1020" t="str">
        <x:v>feed_composition_shift</x:v>
      </x:c>
      <x:c r="N1020" t="str">
        <x:v>condensate in sample</x:v>
      </x:c>
      <x:c r="O1020" t="str">
        <x:v>LIQ_CARRY</x:v>
      </x:c>
      <x:c r="P1020" t="str">
        <x:v>SAMPLE</x:v>
      </x:c>
      <x:c r="Q1020" t="str">
        <x:v>N</x:v>
      </x:c>
      <x:c r="R1020" t="str">
        <x:v>2.4</x:v>
      </x:c>
      <x:c r="S1020" t="str">
        <x:v>6253.06</x:v>
      </x:c>
      <x:c r="T1020" t="str">
        <x:v>AIT-502 condensate in sample again, prod upset</x:v>
      </x:c>
      <x:c r="U1020" t="str">
        <x:v>A shift called for AIT-502 bottoms C3+ analyzer, ovhd c3 slip seen during feed composition shift. Foud condensate in sample; knockout pot full. flushed impulse/sample line. ops says ok for now. notif made by ops, maint attended same shift.</x:v>
      </x:c>
    </x:row>
    <x:row r="1021" ht="15" hidden="0" customHeight="1">
      <x:c r="A1021" t="str">
        <x:v>10451020</x:v>
      </x:c>
      <x:c r="B1021" t="str">
        <x:v>40871020</x:v>
      </x:c>
      <x:c r="C1021" t="str">
        <x:v>2025-07-01</x:v>
      </x:c>
      <x:c r="D1021" t="str">
        <x:v>2025-07-01</x:v>
      </x:c>
      <x:c r="E1021" t="str">
        <x:v>2025-07-02</x:v>
      </x:c>
      <x:c r="F1021" t="str">
        <x:v>U400-DEETHANIZER-500</x:v>
      </x:c>
      <x:c r="G1021" t="str">
        <x:v>PSV-501A</x:v>
      </x:c>
      <x:c r="H1021" t="str">
        <x:v>column relief valve A</x:v>
      </x:c>
      <x:c r="I1021" t="str">
        <x:v>relief</x:v>
      </x:c>
      <x:c r="J1021" t="str">
        <x:v>P4</x:v>
      </x:c>
      <x:c r="K1021" t="str">
        <x:v>CLSD</x:v>
      </x:c>
      <x:c r="L1021" t="str">
        <x:v>VALVE</x:v>
      </x:c>
      <x:c r="M1021" t="str">
        <x:v>valve_stiction</x:v>
      </x:c>
      <x:c r="N1021" t="str">
        <x:v>car seal broken</x:v>
      </x:c>
      <x:c r="O1021" t="str">
        <x:v>CSO</x:v>
      </x:c>
      <x:c r="P1021" t="str">
        <x:v>HUMAN</x:v>
      </x:c>
      <x:c r="Q1021" t="str">
        <x:v>N</x:v>
      </x:c>
      <x:c r="R1021" t="str">
        <x:v>4.7</x:v>
      </x:c>
      <x:c r="S1021" t="str">
        <x:v>3049.85</x:v>
      </x:c>
      <x:c r="T1021" t="str">
        <x:v>PSV-501A car seal broken asap</x:v>
      </x:c>
      <x:c r="U1021" t="str">
        <x:v>days called for PSV-501A column relief valve A, air leak seen during valve stiction. Foud car seal broken; seal missing found. Line was hot so job done slow and with ops standing by. tightened fittings, leak test ok. no leak at handover. notif made by ops, maint attended same shift.</x:v>
      </x:c>
    </x:row>
    <x:row r="1022" ht="15" hidden="0" customHeight="1">
      <x:c r="A1022" t="str">
        <x:v>10451021</x:v>
      </x:c>
      <x:c r="B1022" t="str">
        <x:v>40871021</x:v>
      </x:c>
      <x:c r="C1022" t="str">
        <x:v>2025-06-30</x:v>
      </x:c>
      <x:c r="D1022" t="str">
        <x:v>2025-07-02</x:v>
      </x:c>
      <x:c r="E1022" t="str">
        <x:v>2025-07-03</x:v>
      </x:c>
      <x:c r="F1022" t="str">
        <x:v>U400-DEETHANIZER-500</x:v>
      </x:c>
      <x:c r="G1022" t="str">
        <x:v>PV-501</x:v>
      </x:c>
      <x:c r="H1022" t="str">
        <x:v>column pressure control valve</x:v>
      </x:c>
      <x:c r="I1022" t="str">
        <x:v>control_valve</x:v>
      </x:c>
      <x:c r="J1022" t="str">
        <x:v>P3</x:v>
      </x:c>
      <x:c r="K1022" t="str">
        <x:v>CLSD</x:v>
      </x:c>
      <x:c r="L1022" t="str">
        <x:v>E&amp;I</x:v>
      </x:c>
      <x:c r="M1022" t="str">
        <x:v>feed_composition_shift</x:v>
      </x:c>
      <x:c r="N1022" t="str">
        <x:v>air leak</x:v>
      </x:c>
      <x:c r="O1022" t="str">
        <x:v>AIR_LEAK</x:v>
      </x:c>
      <x:c r="P1022" t="str">
        <x:v>TUBING</x:v>
      </x:c>
      <x:c r="Q1022" t="str">
        <x:v>N</x:v>
      </x:c>
      <x:c r="R1022" t="str">
        <x:v>16.9</x:v>
      </x:c>
      <x:c r="S1022" t="str">
        <x:v>2948.55</x:v>
      </x:c>
      <x:c r="T1022" t="str">
        <x:v>PV-501 air leak again, prod upset</x:v>
      </x:c>
      <x:c r="U1022" t="str">
        <x:v>C shift called for PV-501 column pressure control vavle, btm heavy seen during feed composition shift. Foud air leak; positioner supply drop. cleaned and put back online. need watch next feed swing. notif made by ops, maint attended same shift.</x:v>
      </x:c>
    </x:row>
    <x:row r="1023" ht="15" hidden="0" customHeight="1">
      <x:c r="A1023" t="str">
        <x:v>10451022</x:v>
      </x:c>
      <x:c r="B1023" t="str">
        <x:v>40871022</x:v>
      </x:c>
      <x:c r="C1023" t="str">
        <x:v>2025-07-01</x:v>
      </x:c>
      <x:c r="D1023" t="str">
        <x:v>2025-07-01</x:v>
      </x:c>
      <x:c r="E1023" t="str">
        <x:v>2025-07-01</x:v>
      </x:c>
      <x:c r="F1023" t="str">
        <x:v>U400-DEETHANIZER-500</x:v>
      </x:c>
      <x:c r="G1023" t="str">
        <x:v>TT-501B</x:v>
      </x:c>
      <x:c r="H1023" t="str">
        <x:v>sensitive tray temperature tx</x:v>
      </x:c>
      <x:c r="I1023" t="str">
        <x:v>instrument</x:v>
      </x:c>
      <x:c r="J1023" t="str">
        <x:v>P2</x:v>
      </x:c>
      <x:c r="K1023" t="str">
        <x:v>CLSD</x:v>
      </x:c>
      <x:c r="L1023" t="str">
        <x:v>INST</x:v>
      </x:c>
      <x:c r="M1023" t="str">
        <x:v>normal_wear</x:v>
      </x:c>
      <x:c r="N1023" t="str">
        <x:v>bad reading</x:v>
      </x:c>
      <x:c r="O1023" t="str">
        <x:v>DRIFT</x:v>
      </x:c>
      <x:c r="P1023" t="str">
        <x:v>CAL</x:v>
      </x:c>
      <x:c r="Q1023" t="str">
        <x:v>Y</x:v>
      </x:c>
      <x:c r="R1023" t="str">
        <x:v>20.7</x:v>
      </x:c>
      <x:c r="S1023" t="str">
        <x:v>6198.98</x:v>
      </x:c>
      <x:c r="T1023" t="str">
        <x:v>TT-501B bad reading asap</x:v>
      </x:c>
      <x:c r="U1023" t="str">
        <x:v>C shift called for TT-501B sensitive tray temp tx, leak seen during normal wear. Foud bad reading; needs calib. Tag plate dirty, confirmd by line up with panel. calibrated, loop checked with CCR. ops says ok for now. notif made by ops, maint attended same shift.</x:v>
      </x:c>
    </x:row>
    <x:row r="1024" ht="15" hidden="0" customHeight="1">
      <x:c r="A1024" t="str">
        <x:v>10451023</x:v>
      </x:c>
      <x:c r="B1024" t="str">
        <x:v>40871023</x:v>
      </x:c>
      <x:c r="C1024" t="str">
        <x:v>2025-07-04</x:v>
      </x:c>
      <x:c r="D1024" t="str">
        <x:v>2025-07-04</x:v>
      </x:c>
      <x:c r="E1024" t="str">
        <x:v>2025-07-05</x:v>
      </x:c>
      <x:c r="F1024" t="str">
        <x:v>U400-DEETHANIZER-500</x:v>
      </x:c>
      <x:c r="G1024" t="str">
        <x:v>E-503</x:v>
      </x:c>
      <x:c r="H1024" t="str">
        <x:v>feed bottoms exchanger</x:v>
      </x:c>
      <x:c r="I1024" t="str">
        <x:v>exchanger</x:v>
      </x:c>
      <x:c r="J1024" t="str">
        <x:v>P3</x:v>
      </x:c>
      <x:c r="K1024" t="str">
        <x:v>CLSD</x:v>
      </x:c>
      <x:c r="L1024" t="str">
        <x:v>ROT</x:v>
      </x:c>
      <x:c r="M1024" t="str">
        <x:v>feed_composition_shift</x:v>
      </x:c>
      <x:c r="N1024" t="str">
        <x:v>plugged pass</x:v>
      </x:c>
      <x:c r="O1024" t="str">
        <x:v>PLUG</x:v>
      </x:c>
      <x:c r="P1024" t="str">
        <x:v>FOUL</x:v>
      </x:c>
      <x:c r="Q1024" t="str">
        <x:v>N</x:v>
      </x:c>
      <x:c r="R1024" t="str">
        <x:v>9.6</x:v>
      </x:c>
      <x:c r="S1024" t="str">
        <x:v>16138.2</x:v>
      </x:c>
      <x:c r="T1024" t="str">
        <x:v>E-503 not ok after feed composition shift</x:v>
      </x:c>
      <x:c r="U1024" t="str">
        <x:v>A shift called for E-503 feed bottoms exchanger, ovhd c3 slip seen during feed composition shift. Foud plugged pass; flow restricted. stroke tested, response better. still little hunting but acceptable. notif made by ops, maint attended same shift.</x:v>
      </x:c>
    </x:row>
    <x:row r="1025" ht="15" hidden="0" customHeight="1">
      <x:c r="A1025" t="str">
        <x:v>10451024</x:v>
      </x:c>
      <x:c r="B1025" t="str">
        <x:v>40871024</x:v>
      </x:c>
      <x:c r="C1025" t="str">
        <x:v>2025-07-04</x:v>
      </x:c>
      <x:c r="D1025" t="str">
        <x:v>2025-07-06</x:v>
      </x:c>
      <x:c r="E1025" t="str">
        <x:v>2025-07-06</x:v>
      </x:c>
      <x:c r="F1025" t="str">
        <x:v>U400-DEETHANIZER-500</x:v>
      </x:c>
      <x:c r="G1025" t="str">
        <x:v>PV-501</x:v>
      </x:c>
      <x:c r="H1025" t="str">
        <x:v>column pressure control valve</x:v>
      </x:c>
      <x:c r="I1025" t="str">
        <x:v>control_valve</x:v>
      </x:c>
      <x:c r="J1025" t="str">
        <x:v>P1</x:v>
      </x:c>
      <x:c r="K1025" t="str">
        <x:v>TECO</x:v>
      </x:c>
      <x:c r="L1025" t="str">
        <x:v>VALVE</x:v>
      </x:c>
      <x:c r="M1025" t="str">
        <x:v>pressure_control_fault</x:v>
      </x:c>
      <x:c r="N1025" t="str">
        <x:v>stiction</x:v>
      </x:c>
      <x:c r="O1025" t="str">
        <x:v>STICK</x:v>
      </x:c>
      <x:c r="P1025" t="str">
        <x:v>PACKING</x:v>
      </x:c>
      <x:c r="Q1025" t="str">
        <x:v>N</x:v>
      </x:c>
      <x:c r="R1025" t="str">
        <x:v>3.0</x:v>
      </x:c>
      <x:c r="S1025" t="str">
        <x:v>2695.03</x:v>
      </x:c>
      <x:c r="T1025" t="str">
        <x:v>PV-501 not ok after pressure ctrl fault</x:v>
      </x:c>
      <x:c r="U1025" t="str">
        <x:v>C shift called for PV-501 column pressure control vavle, flare vavle checked seen during pressure control fault. Foud stiction; stem sticky and pos err. tightened fittings, leak test ok. temp repair only, plan shutdown job. notif made by ops, maint attended same shift.</x:v>
      </x:c>
    </x:row>
    <x:row r="1026" ht="15" hidden="0" customHeight="1">
      <x:c r="A1026" t="str">
        <x:v>10451025</x:v>
      </x:c>
      <x:c r="B1026" t="str">
        <x:v>40871025</x:v>
      </x:c>
      <x:c r="C1026" t="str">
        <x:v>2025-07-07</x:v>
      </x:c>
      <x:c r="D1026" t="str">
        <x:v>2025-07-09</x:v>
      </x:c>
      <x:c r="E1026" t="str">
        <x:v>2025-07-14</x:v>
      </x:c>
      <x:c r="F1026" t="str">
        <x:v>U400-DEETHANIZER-500</x:v>
      </x:c>
      <x:c r="G1026" t="str">
        <x:v>TV-501</x:v>
      </x:c>
      <x:c r="H1026" t="str">
        <x:v>reboiler hot medium valve</x:v>
      </x:c>
      <x:c r="I1026" t="str">
        <x:v>control_valve</x:v>
      </x:c>
      <x:c r="J1026" t="str">
        <x:v>P2</x:v>
      </x:c>
      <x:c r="K1026" t="str">
        <x:v>COMP</x:v>
      </x:c>
      <x:c r="L1026" t="str">
        <x:v>ANLYZR</x:v>
      </x:c>
      <x:c r="M1026" t="str">
        <x:v>reboiler_duty_loss</x:v>
      </x:c>
      <x:c r="N1026" t="str">
        <x:v>hunting loop</x:v>
      </x:c>
      <x:c r="O1026" t="str">
        <x:v>CTRL_OSC</x:v>
      </x:c>
      <x:c r="P1026" t="str">
        <x:v>TUNE</x:v>
      </x:c>
      <x:c r="Q1026" t="str">
        <x:v>N</x:v>
      </x:c>
      <x:c r="R1026" t="str">
        <x:v>11.0</x:v>
      </x:c>
      <x:c r="S1026" t="str">
        <x:v>5743.01</x:v>
      </x:c>
      <x:c r="T1026" t="str">
        <x:v>TV-501 hunting loop again, prod upset</x:v>
      </x:c>
      <x:c r="U1026" t="str">
        <x:v>A shift called for TV-501 reboiler hot medium valve, steam/hm valve no resp seen during reboiler duty loss. Foud hunting loop; bad response after upset. tightened fittings, leak test ok. unit stable now. notif made by ops, maint attended same shift.</x:v>
      </x:c>
    </x:row>
    <x:row r="1027" ht="15" hidden="0" customHeight="1">
      <x:c r="A1027" t="str">
        <x:v>10451026</x:v>
      </x:c>
      <x:c r="B1027" t="str">
        <x:v>40871026</x:v>
      </x:c>
      <x:c r="C1027" t="str">
        <x:v>2025-07-10</x:v>
      </x:c>
      <x:c r="D1027" t="str">
        <x:v>2025-07-10</x:v>
      </x:c>
      <x:c r="E1027" t="str">
        <x:v>2025-07-15</x:v>
      </x:c>
      <x:c r="F1027" t="str">
        <x:v>U400-DEETHANIZER-500</x:v>
      </x:c>
      <x:c r="G1027" t="str">
        <x:v>TV-501</x:v>
      </x:c>
      <x:c r="H1027" t="str">
        <x:v>reboiler hot medium valve</x:v>
      </x:c>
      <x:c r="I1027" t="str">
        <x:v>control_valve</x:v>
      </x:c>
      <x:c r="J1027" t="str">
        <x:v>P4</x:v>
      </x:c>
      <x:c r="K1027" t="str">
        <x:v>CLSD</x:v>
      </x:c>
      <x:c r="L1027" t="str">
        <x:v>E&amp;I</x:v>
      </x:c>
      <x:c r="M1027" t="str">
        <x:v>reboiler_duty_loss</x:v>
      </x:c>
      <x:c r="N1027" t="str">
        <x:v>not stroking</x:v>
      </x:c>
      <x:c r="O1027" t="str">
        <x:v>NO_TRAVEL</x:v>
      </x:c>
      <x:c r="P1027" t="str">
        <x:v>ACT</x:v>
      </x:c>
      <x:c r="Q1027" t="str">
        <x:v>N</x:v>
      </x:c>
      <x:c r="R1027" t="str">
        <x:v>13.0</x:v>
      </x:c>
      <x:c r="S1027" t="str">
        <x:v>1214.95</x:v>
      </x:c>
      <x:c r="T1027" t="str">
        <x:v>chk TV-501 - not stroking frm ops</x:v>
      </x:c>
      <x:c r="U1027" t="str">
        <x:v>days called for TV-501 reboiler hot medium valve, steam/hm valve no resp seen during reboiler duty loss. Foud not stroking; actuator weak. calibrated, loop checked with CCR. readng close to dcs after job. notif made by ops, maint attended same shift.</x:v>
      </x:c>
    </x:row>
    <x:row r="1028" ht="15" hidden="0" customHeight="1">
      <x:c r="A1028" t="str">
        <x:v>10451027</x:v>
      </x:c>
      <x:c r="B1028" t="str">
        <x:v>40871027</x:v>
      </x:c>
      <x:c r="C1028" t="str">
        <x:v>2025-07-10</x:v>
      </x:c>
      <x:c r="D1028" t="str">
        <x:v>2025-07-10</x:v>
      </x:c>
      <x:c r="E1028" t="str">
        <x:v>2025-07-10</x:v>
      </x:c>
      <x:c r="F1028" t="str">
        <x:v>U400-DEETHANIZER-500</x:v>
      </x:c>
      <x:c r="G1028" t="str">
        <x:v>PV-501</x:v>
      </x:c>
      <x:c r="H1028" t="str">
        <x:v>column pressure control valve</x:v>
      </x:c>
      <x:c r="I1028" t="str">
        <x:v>control_valve</x:v>
      </x:c>
      <x:c r="J1028" t="str">
        <x:v>P2</x:v>
      </x:c>
      <x:c r="K1028" t="str">
        <x:v>COMP</x:v>
      </x:c>
      <x:c r="L1028" t="str">
        <x:v>OPS+MECH</x:v>
      </x:c>
      <x:c r="M1028" t="str">
        <x:v>pressure_control_fault</x:v>
      </x:c>
      <x:c r="N1028" t="str">
        <x:v>air leak</x:v>
      </x:c>
      <x:c r="O1028" t="str">
        <x:v>AIR_LEAK</x:v>
      </x:c>
      <x:c r="P1028" t="str">
        <x:v>TUBING</x:v>
      </x:c>
      <x:c r="Q1028" t="str">
        <x:v>N</x:v>
      </x:c>
      <x:c r="R1028" t="str">
        <x:v>13.6</x:v>
      </x:c>
      <x:c r="S1028" t="str">
        <x:v>3250.43</x:v>
      </x:c>
      <x:c r="T1028" t="str">
        <x:v>PV-501 air leak temp fix</x:v>
      </x:c>
      <x:c r="U1028" t="str">
        <x:v>A shift called for PV-501 column press ctrl valve, pic unstable seen during press ctrl fault. Foud air leak; positioner supply drop. History shows same complain last mnth. swapped to standby and repaired. no leak at handover. notif made by ops, maint attended same shift.</x:v>
      </x:c>
    </x:row>
    <x:row r="1029" ht="15" hidden="0" customHeight="1">
      <x:c r="A1029" t="str">
        <x:v>10451028</x:v>
      </x:c>
      <x:c r="B1029" t="str">
        <x:v>40871028</x:v>
      </x:c>
      <x:c r="C1029" t="str">
        <x:v>2025-07-13</x:v>
      </x:c>
      <x:c r="D1029" t="str">
        <x:v>2025-07-13</x:v>
      </x:c>
      <x:c r="E1029" t="str">
        <x:v>2025-07-18</x:v>
      </x:c>
      <x:c r="F1029" t="str">
        <x:v>U400-DEETHANIZER-500</x:v>
      </x:c>
      <x:c r="G1029" t="str">
        <x:v>E-503</x:v>
      </x:c>
      <x:c r="H1029" t="str">
        <x:v>feed bottoms exchanger</x:v>
      </x:c>
      <x:c r="I1029" t="str">
        <x:v>exchanger</x:v>
      </x:c>
      <x:c r="J1029" t="str">
        <x:v>P3</x:v>
      </x:c>
      <x:c r="K1029" t="str">
        <x:v>COMP</x:v>
      </x:c>
      <x:c r="L1029" t="str">
        <x:v>VALVE</x:v>
      </x:c>
      <x:c r="M1029" t="str">
        <x:v>feed_composition_shift</x:v>
      </x:c>
      <x:c r="N1029" t="str">
        <x:v>gasket weep</x:v>
      </x:c>
      <x:c r="O1029" t="str">
        <x:v>LEAK</x:v>
      </x:c>
      <x:c r="P1029" t="str">
        <x:v>GASKET</x:v>
      </x:c>
      <x:c r="Q1029" t="str">
        <x:v>N</x:v>
      </x:c>
      <x:c r="R1029" t="str">
        <x:v>4.5</x:v>
      </x:c>
      <x:c r="S1029" t="str">
        <x:v>4574.56</x:v>
      </x:c>
      <x:c r="T1029" t="str">
        <x:v>E-503 gasket weep again, prod upset</x:v>
      </x:c>
      <x:c r="U1029" t="str">
        <x:v>night called for E-503 feed bottoms exchanger, ovhd c3 slip seen during feed composition shift. Foud gasket weep; flange sweating. Line was hot so job done slow and with ops standing by. opened strainer, cleaned black sludge. readng close to dcs after job. notif made by ops, maint attended same shift.</x:v>
      </x:c>
    </x:row>
    <x:row r="1030" ht="15" hidden="0" customHeight="1">
      <x:c r="A1030" t="str">
        <x:v>10451029</x:v>
      </x:c>
      <x:c r="B1030" t="str">
        <x:v>40871029</x:v>
      </x:c>
      <x:c r="C1030" t="str">
        <x:v>2025-07-15</x:v>
      </x:c>
      <x:c r="D1030" t="str">
        <x:v>2025-07-15</x:v>
      </x:c>
      <x:c r="E1030" t="str">
        <x:v>2025-07-16</x:v>
      </x:c>
      <x:c r="F1030" t="str">
        <x:v>U400-DEETHANIZER-500</x:v>
      </x:c>
      <x:c r="G1030" t="str">
        <x:v>LV-502</x:v>
      </x:c>
      <x:c r="H1030" t="str">
        <x:v>bottoms level valve</x:v>
      </x:c>
      <x:c r="I1030" t="str">
        <x:v>control_valve</x:v>
      </x:c>
      <x:c r="J1030" t="str">
        <x:v>P2</x:v>
      </x:c>
      <x:c r="K1030" t="str">
        <x:v>CLSD</x:v>
      </x:c>
      <x:c r="L1030" t="str">
        <x:v>INST</x:v>
      </x:c>
      <x:c r="M1030" t="str">
        <x:v>feed_flow_step</x:v>
      </x:c>
      <x:c r="N1030" t="str">
        <x:v>not stroking</x:v>
      </x:c>
      <x:c r="O1030" t="str">
        <x:v>NO_TRAVEL</x:v>
      </x:c>
      <x:c r="P1030" t="str">
        <x:v>ACT</x:v>
      </x:c>
      <x:c r="Q1030" t="str">
        <x:v>N</x:v>
      </x:c>
      <x:c r="R1030" t="str">
        <x:v>4.7</x:v>
      </x:c>
      <x:c r="S1030" t="str">
        <x:v>2629.18</x:v>
      </x:c>
      <x:c r="T1030" t="str">
        <x:v>LV-502 not stroking noisy</x:v>
      </x:c>
      <x:c r="U1030" t="str">
        <x:v>A shift called for LV-502 bottoms level valve, feed jump seen during feed flow step. Foud not stroking; actuator weak. tightened fittings, leak test ok. temp repair only, plan shutdown job. notif made by ops, maint attended same shift.</x:v>
      </x:c>
    </x:row>
    <x:row r="1031" ht="15" hidden="0" customHeight="1">
      <x:c r="A1031" t="str">
        <x:v>10451030</x:v>
      </x:c>
      <x:c r="B1031" t="str">
        <x:v>40871030</x:v>
      </x:c>
      <x:c r="C1031" t="str">
        <x:v>2025-07-14</x:v>
      </x:c>
      <x:c r="D1031" t="str">
        <x:v>2025-07-14</x:v>
      </x:c>
      <x:c r="E1031" t="str">
        <x:v>2025-07-15</x:v>
      </x:c>
      <x:c r="F1031" t="str">
        <x:v>U400-DEETHANIZER-500</x:v>
      </x:c>
      <x:c r="G1031" t="str">
        <x:v>PV-501</x:v>
      </x:c>
      <x:c r="H1031" t="str">
        <x:v>column pressure control valve</x:v>
      </x:c>
      <x:c r="I1031" t="str">
        <x:v>control_valve</x:v>
      </x:c>
      <x:c r="J1031" t="str">
        <x:v>P2</x:v>
      </x:c>
      <x:c r="K1031" t="str">
        <x:v>CLSD</x:v>
      </x:c>
      <x:c r="L1031" t="str">
        <x:v>ANLYZR</x:v>
      </x:c>
      <x:c r="M1031" t="str">
        <x:v>reflux_pump_degradation</x:v>
      </x:c>
      <x:c r="N1031" t="str">
        <x:v>passing</x:v>
      </x:c>
      <x:c r="O1031" t="str">
        <x:v>LEAK_BY</x:v>
      </x:c>
      <x:c r="P1031" t="str">
        <x:v>SEAT</x:v>
      </x:c>
      <x:c r="Q1031" t="str">
        <x:v>Y</x:v>
      </x:c>
      <x:c r="R1031" t="str">
        <x:v>8.0</x:v>
      </x:c>
      <x:c r="S1031" t="str">
        <x:v>858.14</x:v>
      </x:c>
      <x:c r="T1031" t="str">
        <x:v>PV-501 disch press low, passing</x:v>
      </x:c>
      <x:c r="U1031" t="str">
        <x:v>A shift called for PV-501 column pressure control valve, min flow hot seen during reflux pump degradation. Foud passing; seat leak by. reset trip and monitored for 2 hrs. need watch next feed swing. notif made by ops, maint attended same shift.</x:v>
      </x:c>
    </x:row>
    <x:row r="1032" ht="15" hidden="0" customHeight="1">
      <x:c r="A1032" t="str">
        <x:v>10451031</x:v>
      </x:c>
      <x:c r="B1032" t="str">
        <x:v>40871031</x:v>
      </x:c>
      <x:c r="C1032" t="str">
        <x:v>2025-07-16</x:v>
      </x:c>
      <x:c r="D1032" t="str">
        <x:v>2025-07-16</x:v>
      </x:c>
      <x:c r="E1032" t="str">
        <x:v>2025-07-19</x:v>
      </x:c>
      <x:c r="F1032" t="str">
        <x:v>U400-DEETHANIZER-500</x:v>
      </x:c>
      <x:c r="G1032" t="str">
        <x:v>P-501A</x:v>
      </x:c>
      <x:c r="H1032" t="str">
        <x:v>reflux pump A</x:v>
      </x:c>
      <x:c r="I1032" t="str">
        <x:v>pump</x:v>
      </x:c>
      <x:c r="J1032" t="str">
        <x:v>P2</x:v>
      </x:c>
      <x:c r="K1032" t="str">
        <x:v>COMP</x:v>
      </x:c>
      <x:c r="L1032" t="str">
        <x:v>OPS+MECH</x:v>
      </x:c>
      <x:c r="M1032" t="str">
        <x:v>feed_flow_step</x:v>
      </x:c>
      <x:c r="N1032" t="str">
        <x:v>vib high</x:v>
      </x:c>
      <x:c r="O1032" t="str">
        <x:v>VIB</x:v>
      </x:c>
      <x:c r="P1032" t="str">
        <x:v>ALIGN</x:v>
      </x:c>
      <x:c r="Q1032" t="str">
        <x:v>N</x:v>
      </x:c>
      <x:c r="R1032" t="str">
        <x:v>16.3</x:v>
      </x:c>
      <x:c r="S1032" t="str">
        <x:v>912.61</x:v>
      </x:c>
      <x:c r="T1032" t="str">
        <x:v>P-501A not ok after feed flow step</x:v>
      </x:c>
      <x:c r="U1032" t="str">
        <x:v>B shift called for P-501A rflx pump A, column dp high seen during feed flow step. Foud vib high; coupling align or cavitation. Could not get permit first time waiting area gas test. cleaned and put back online. still little hunting but acceptable. notif made by ops, maint attended same shift.</x:v>
      </x:c>
    </x:row>
    <x:row r="1033" ht="15" hidden="0" customHeight="1">
      <x:c r="A1033" t="str">
        <x:v>10451032</x:v>
      </x:c>
      <x:c r="B1033" t="str">
        <x:v>40871032</x:v>
      </x:c>
      <x:c r="C1033" t="str">
        <x:v>2025-07-19</x:v>
      </x:c>
      <x:c r="D1033" t="str">
        <x:v>2025-07-20</x:v>
      </x:c>
      <x:c r="E1033" t="str">
        <x:v>2025-07-25</x:v>
      </x:c>
      <x:c r="F1033" t="str">
        <x:v>U400-DEETHANIZER-500</x:v>
      </x:c>
      <x:c r="G1033" t="str">
        <x:v>P-502A</x:v>
      </x:c>
      <x:c r="H1033" t="str">
        <x:v>bottoms pump A</x:v>
      </x:c>
      <x:c r="I1033" t="str">
        <x:v>pump</x:v>
      </x:c>
      <x:c r="J1033" t="str">
        <x:v>P2</x:v>
      </x:c>
      <x:c r="K1033" t="str">
        <x:v>TECO</x:v>
      </x:c>
      <x:c r="L1033" t="str">
        <x:v>OPS+INST</x:v>
      </x:c>
      <x:c r="M1033" t="str">
        <x:v>normal_wear</x:v>
      </x:c>
      <x:c r="N1033" t="str">
        <x:v>low disch press</x:v>
      </x:c>
      <x:c r="O1033" t="str">
        <x:v>HYD_LOSS</x:v>
      </x:c>
      <x:c r="P1033" t="str">
        <x:v>FOUL</x:v>
      </x:c>
      <x:c r="Q1033" t="str">
        <x:v>Y</x:v>
      </x:c>
      <x:c r="R1033" t="str">
        <x:v>21.4</x:v>
      </x:c>
      <x:c r="S1033" t="str">
        <x:v>3796.35</x:v>
      </x:c>
      <x:c r="T1033" t="str">
        <x:v>chk P-502A - low disch press frm ops</x:v>
      </x:c>
      <x:c r="U1033" t="str">
        <x:v>night called for P-502A bottoms pump A, bad reading seen during normal wear. Foud low disch press; strainer dirty or impeller wear. flushed impulse/sample line. no leak at handover. notif made by ops, maint attended same shift.</x:v>
      </x:c>
    </x:row>
    <x:row r="1034" ht="15" hidden="0" customHeight="1">
      <x:c r="A1034" t="str">
        <x:v>10451033</x:v>
      </x:c>
      <x:c r="B1034" t="str">
        <x:v>40871033</x:v>
      </x:c>
      <x:c r="C1034" t="str">
        <x:v>2025-07-18</x:v>
      </x:c>
      <x:c r="D1034" t="str">
        <x:v>2025-07-19</x:v>
      </x:c>
      <x:c r="E1034" t="str">
        <x:v>2025-07-20</x:v>
      </x:c>
      <x:c r="F1034" t="str">
        <x:v>U400-DEETHANIZER-500</x:v>
      </x:c>
      <x:c r="G1034" t="str">
        <x:v>E-501</x:v>
      </x:c>
      <x:c r="H1034" t="str">
        <x:v>deethanizer reboiler</x:v>
      </x:c>
      <x:c r="I1034" t="str">
        <x:v>reboiler</x:v>
      </x:c>
      <x:c r="J1034" t="str">
        <x:v>P3</x:v>
      </x:c>
      <x:c r="K1034" t="str">
        <x:v>COMP</x:v>
      </x:c>
      <x:c r="L1034" t="str">
        <x:v>ROT</x:v>
      </x:c>
      <x:c r="M1034" t="str">
        <x:v>reboiler_duty_loss</x:v>
      </x:c>
      <x:c r="N1034" t="str">
        <x:v>circ poor</x:v>
      </x:c>
      <x:c r="O1034" t="str">
        <x:v>NO_FLOW</x:v>
      </x:c>
      <x:c r="P1034" t="str">
        <x:v>PLUG</x:v>
      </x:c>
      <x:c r="Q1034" t="str">
        <x:v>N</x:v>
      </x:c>
      <x:c r="R1034" t="str">
        <x:v>12.3</x:v>
      </x:c>
      <x:c r="S1034" t="str">
        <x:v>7892.97</x:v>
      </x:c>
      <x:c r="T1034" t="str">
        <x:v>E-501 not ok after reboiler duty loss</x:v>
      </x:c>
      <x:c r="U1034" t="str">
        <x:v>days called for E-501 deethanizer reboiler, low heat seen during reboiler duty loss. Foud circ poor; blocked inlet screen. History shows same complain last mnth. changed gasket and boxed up. readng close to dcs after job. notif made by ops, maint attended same shift.</x:v>
      </x:c>
    </x:row>
    <x:row r="1035" ht="15" hidden="0" customHeight="1">
      <x:c r="A1035" t="str">
        <x:v>10451034</x:v>
      </x:c>
      <x:c r="B1035" t="str">
        <x:v>40871034</x:v>
      </x:c>
      <x:c r="C1035" t="str">
        <x:v>2025-07-18</x:v>
      </x:c>
      <x:c r="D1035" t="str">
        <x:v>2025-07-18</x:v>
      </x:c>
      <x:c r="E1035" t="str">
        <x:v>2025-07-20</x:v>
      </x:c>
      <x:c r="F1035" t="str">
        <x:v>U400-DEETHANIZER-500</x:v>
      </x:c>
      <x:c r="G1035" t="str">
        <x:v>E-503</x:v>
      </x:c>
      <x:c r="H1035" t="str">
        <x:v>feed bottoms exchanger</x:v>
      </x:c>
      <x:c r="I1035" t="str">
        <x:v>exchanger</x:v>
      </x:c>
      <x:c r="J1035" t="str">
        <x:v>P2</x:v>
      </x:c>
      <x:c r="K1035" t="str">
        <x:v>CLSD</x:v>
      </x:c>
      <x:c r="L1035" t="str">
        <x:v>VALVE</x:v>
      </x:c>
      <x:c r="M1035" t="str">
        <x:v>feed_composition_shift</x:v>
      </x:c>
      <x:c r="N1035" t="str">
        <x:v>temp approach bad</x:v>
      </x:c>
      <x:c r="O1035" t="str">
        <x:v>PERF</x:v>
      </x:c>
      <x:c r="P1035" t="str">
        <x:v>FOUL</x:v>
      </x:c>
      <x:c r="Q1035" t="str">
        <x:v>N</x:v>
      </x:c>
      <x:c r="R1035" t="str">
        <x:v>10.4</x:v>
      </x:c>
      <x:c r="S1035" t="str">
        <x:v>6682.68</x:v>
      </x:c>
      <x:c r="T1035" t="str">
        <x:v>E-503 temp approach bad asap</x:v>
      </x:c>
      <x:c r="U1035" t="str">
        <x:v>A shift called for E-503 feed bottoms exchanger, btm heavy seen during feed composition shift. Foud temp approach bad; heat transfer loss. Tag plate dirty, confirmd by line up with panel. replaced positioner tubing and retuned small. need watch next feed swing. notif made by ops, maint attended same shift.</x:v>
      </x:c>
    </x:row>
    <x:row r="1036" ht="15" hidden="0" customHeight="1">
      <x:c r="A1036" t="str">
        <x:v>10451035</x:v>
      </x:c>
      <x:c r="B1036" t="str">
        <x:v>40871035</x:v>
      </x:c>
      <x:c r="C1036" t="str">
        <x:v>2025-07-21</x:v>
      </x:c>
      <x:c r="D1036" t="str">
        <x:v>2025-07-21</x:v>
      </x:c>
      <x:c r="E1036" t="str">
        <x:v>2025-07-22</x:v>
      </x:c>
      <x:c r="F1036" t="str">
        <x:v>U400-DEETHANIZER-500</x:v>
      </x:c>
      <x:c r="G1036" t="str">
        <x:v>AIT-501</x:v>
      </x:c>
      <x:c r="H1036" t="str">
        <x:v>overhead C2 analyzer</x:v>
      </x:c>
      <x:c r="I1036" t="str">
        <x:v>analyzer</x:v>
      </x:c>
      <x:c r="J1036" t="str">
        <x:v>P2</x:v>
      </x:c>
      <x:c r="K1036" t="str">
        <x:v>COMP</x:v>
      </x:c>
      <x:c r="L1036" t="str">
        <x:v>E&amp;I</x:v>
      </x:c>
      <x:c r="M1036" t="str">
        <x:v>feed_composition_shift</x:v>
      </x:c>
      <x:c r="N1036" t="str">
        <x:v>sample plugged</x:v>
      </x:c>
      <x:c r="O1036" t="str">
        <x:v>PLUG</x:v>
      </x:c>
      <x:c r="P1036" t="str">
        <x:v>SAMPLE</x:v>
      </x:c>
      <x:c r="Q1036" t="str">
        <x:v>N</x:v>
      </x:c>
      <x:c r="R1036" t="str">
        <x:v>10.9</x:v>
      </x:c>
      <x:c r="S1036" t="str">
        <x:v>3370.52</x:v>
      </x:c>
      <x:c r="T1036" t="str">
        <x:v>AIT-501 not ok after feed composition shift</x:v>
      </x:c>
      <x:c r="U1036" t="str">
        <x:v>night called for AIT-501 overhead C2 analyzer, quality bad seen during feed composition shift. Foud sample plugged; fast loop low flow. swapped to standby and repaired. still little hunting but acceptable. notif made by ops, maint attended same shift.</x:v>
      </x:c>
    </x:row>
    <x:row r="1037" ht="15" hidden="0" customHeight="1">
      <x:c r="A1037" t="str">
        <x:v>10451036</x:v>
      </x:c>
      <x:c r="B1037" t="str">
        <x:v>40871036</x:v>
      </x:c>
      <x:c r="C1037" t="str">
        <x:v>2025-07-22</x:v>
      </x:c>
      <x:c r="D1037" t="str">
        <x:v>2025-07-22</x:v>
      </x:c>
      <x:c r="E1037" t="str">
        <x:v>2025-07-22</x:v>
      </x:c>
      <x:c r="F1037" t="str">
        <x:v>U400-DEETHANIZER-500</x:v>
      </x:c>
      <x:c r="G1037" t="str">
        <x:v>AIT-502</x:v>
      </x:c>
      <x:c r="H1037" t="str">
        <x:v>bottoms C3+ analyzer</x:v>
      </x:c>
      <x:c r="I1037" t="str">
        <x:v>analyzer</x:v>
      </x:c>
      <x:c r="J1037" t="str">
        <x:v>P2</x:v>
      </x:c>
      <x:c r="K1037" t="str">
        <x:v>COMP</x:v>
      </x:c>
      <x:c r="L1037" t="str">
        <x:v>ANLYZR</x:v>
      </x:c>
      <x:c r="M1037" t="str">
        <x:v>feed_flow_step</x:v>
      </x:c>
      <x:c r="N1037" t="str">
        <x:v>sample plugged</x:v>
      </x:c>
      <x:c r="O1037" t="str">
        <x:v>PLUG</x:v>
      </x:c>
      <x:c r="P1037" t="str">
        <x:v>SAMPLE</x:v>
      </x:c>
      <x:c r="Q1037" t="str">
        <x:v>Y</x:v>
      </x:c>
      <x:c r="R1037" t="str">
        <x:v>16.6</x:v>
      </x:c>
      <x:c r="S1037" t="str">
        <x:v>6287.89</x:v>
      </x:c>
      <x:c r="T1037" t="str">
        <x:v>AIT-502 sample plugged again, prod upset</x:v>
      </x:c>
      <x:c r="U1037" t="str">
        <x:v>B shift called for AIT-502 bottoms C3+ analyzer, feed jump seen during feed flow step. Foud sample plugged; fast loop low flow. tightened fittings, leak test ok. readng close to dcs after job. notif made by ops, maint attended same shift.</x:v>
      </x:c>
    </x:row>
    <x:row r="1038" ht="15" hidden="0" customHeight="1">
      <x:c r="A1038" t="str">
        <x:v>10451037</x:v>
      </x:c>
      <x:c r="B1038" t="str">
        <x:v>40871037</x:v>
      </x:c>
      <x:c r="C1038" t="str">
        <x:v>2025-07-27</x:v>
      </x:c>
      <x:c r="D1038" t="str">
        <x:v>2025-07-28</x:v>
      </x:c>
      <x:c r="E1038" t="str">
        <x:v>2025-07-29</x:v>
      </x:c>
      <x:c r="F1038" t="str">
        <x:v>U400-DEETHANIZER-500</x:v>
      </x:c>
      <x:c r="G1038" t="str">
        <x:v>TV-502</x:v>
      </x:c>
      <x:c r="H1038" t="str">
        <x:v>condenser cooling valve</x:v>
      </x:c>
      <x:c r="I1038" t="str">
        <x:v>control_valve</x:v>
      </x:c>
      <x:c r="J1038" t="str">
        <x:v>P4</x:v>
      </x:c>
      <x:c r="K1038" t="str">
        <x:v>TECO</x:v>
      </x:c>
      <x:c r="L1038" t="str">
        <x:v>OPS+INST</x:v>
      </x:c>
      <x:c r="M1038" t="str">
        <x:v>valve_stiction</x:v>
      </x:c>
      <x:c r="N1038" t="str">
        <x:v>not stroking</x:v>
      </x:c>
      <x:c r="O1038" t="str">
        <x:v>NO_TRAVEL</x:v>
      </x:c>
      <x:c r="P1038" t="str">
        <x:v>ACT</x:v>
      </x:c>
      <x:c r="Q1038" t="str">
        <x:v>N</x:v>
      </x:c>
      <x:c r="R1038" t="str">
        <x:v>14.2</x:v>
      </x:c>
      <x:c r="S1038" t="str">
        <x:v>623.04</x:v>
      </x:c>
      <x:c r="T1038" t="str">
        <x:v>chk TV-502 - not stroking frm ops</x:v>
      </x:c>
      <x:c r="U1038" t="str">
        <x:v>days called for TV-502 condnsr cooling vavle, position bad seen during vavle stiction. Foud not stroking; actuator weak. Could not get permit first time waiting area gas test. flushed impulse/sample line. need watch next feed swing. notif made by ops, maint attended same shift.</x:v>
      </x:c>
    </x:row>
    <x:row r="1039" ht="15" hidden="0" customHeight="1">
      <x:c r="A1039" t="str">
        <x:v>10451038</x:v>
      </x:c>
      <x:c r="B1039" t="str">
        <x:v>40871038</x:v>
      </x:c>
      <x:c r="C1039" t="str">
        <x:v>2025-07-27</x:v>
      </x:c>
      <x:c r="D1039" t="str">
        <x:v>2025-07-27</x:v>
      </x:c>
      <x:c r="E1039" t="str">
        <x:v>2025-07-28</x:v>
      </x:c>
      <x:c r="F1039" t="str">
        <x:v>U400-DEETHANIZER-500</x:v>
      </x:c>
      <x:c r="G1039" t="str">
        <x:v>FV-502</x:v>
      </x:c>
      <x:c r="H1039" t="str">
        <x:v>reflux flow control valve</x:v>
      </x:c>
      <x:c r="I1039" t="str">
        <x:v>control_valve</x:v>
      </x:c>
      <x:c r="J1039" t="str">
        <x:v>P2</x:v>
      </x:c>
      <x:c r="K1039" t="str">
        <x:v>TECO</x:v>
      </x:c>
      <x:c r="L1039" t="str">
        <x:v>ANLYZR</x:v>
      </x:c>
      <x:c r="M1039" t="str">
        <x:v>normal_wear</x:v>
      </x:c>
      <x:c r="N1039" t="str">
        <x:v>hunting loop</x:v>
      </x:c>
      <x:c r="O1039" t="str">
        <x:v>CTRL_OSC</x:v>
      </x:c>
      <x:c r="P1039" t="str">
        <x:v>TUNE</x:v>
      </x:c>
      <x:c r="Q1039" t="str">
        <x:v>N</x:v>
      </x:c>
      <x:c r="R1039" t="str">
        <x:v>12.1</x:v>
      </x:c>
      <x:c r="S1039" t="str">
        <x:v>2502.44</x:v>
      </x:c>
      <x:c r="T1039" t="str">
        <x:v>FV-502 hunting loop bad</x:v>
      </x:c>
      <x:c r="U1039" t="str">
        <x:v>days called for FV-502 reflux flow control valve, noise seen during normal wear. Foud hunting loop; bad response after upset. Line was hot so job done slow and with ops standing by. changed gasket and boxed up. temp repair only, plan shutdown job. notif made by ops, maint attended same shift.</x:v>
      </x:c>
    </x:row>
    <x:row r="1040" ht="15" hidden="0" customHeight="1">
      <x:c r="A1040" t="str">
        <x:v>10451039</x:v>
      </x:c>
      <x:c r="B1040" t="str">
        <x:v>40871039</x:v>
      </x:c>
      <x:c r="C1040" t="str">
        <x:v>2025-07-25</x:v>
      </x:c>
      <x:c r="D1040" t="str">
        <x:v>2025-07-25</x:v>
      </x:c>
      <x:c r="E1040" t="str">
        <x:v>2025-07-27</x:v>
      </x:c>
      <x:c r="F1040" t="str">
        <x:v>U400-DEETHANIZER-500</x:v>
      </x:c>
      <x:c r="G1040" t="str">
        <x:v>E-502</x:v>
      </x:c>
      <x:c r="H1040" t="str">
        <x:v>deethanizer overhead condenser</x:v>
      </x:c>
      <x:c r="I1040" t="str">
        <x:v>condenser</x:v>
      </x:c>
      <x:c r="J1040" t="str">
        <x:v>P3</x:v>
      </x:c>
      <x:c r="K1040" t="str">
        <x:v>CLSD</x:v>
      </x:c>
      <x:c r="L1040" t="str">
        <x:v>OPS+INST</x:v>
      </x:c>
      <x:c r="M1040" t="str">
        <x:v>feed_composition_shift</x:v>
      </x:c>
      <x:c r="N1040" t="str">
        <x:v>tv no travel</x:v>
      </x:c>
      <x:c r="O1040" t="str">
        <x:v>VALVE</x:v>
      </x:c>
      <x:c r="P1040" t="str">
        <x:v>STICK</x:v>
      </x:c>
      <x:c r="Q1040" t="str">
        <x:v>N</x:v>
      </x:c>
      <x:c r="R1040" t="str">
        <x:v>11.4</x:v>
      </x:c>
      <x:c r="S1040" t="str">
        <x:v>7035.63</x:v>
      </x:c>
      <x:c r="T1040" t="str">
        <x:v>E-502 tv no travel pls chk</x:v>
      </x:c>
      <x:c r="U1040" t="str">
        <x:v>B shift called for E-502 deethanizer overhead condenser, quality bad seen during feed composition shift. Foud tv no travel; cooling valve stuck. flushed impulse/sample line. ops says ok for now. notif made by ops, maint attended same shift.</x:v>
      </x:c>
    </x:row>
    <x:row r="1041" ht="15" hidden="0" customHeight="1">
      <x:c r="A1041" t="str">
        <x:v>10451040</x:v>
      </x:c>
      <x:c r="B1041" t="str">
        <x:v>40871040</x:v>
      </x:c>
      <x:c r="C1041" t="str">
        <x:v>2025-07-29</x:v>
      </x:c>
      <x:c r="D1041" t="str">
        <x:v>2025-07-29</x:v>
      </x:c>
      <x:c r="E1041" t="str">
        <x:v>2025-07-30</x:v>
      </x:c>
      <x:c r="F1041" t="str">
        <x:v>U400-DEETHANIZER-500</x:v>
      </x:c>
      <x:c r="G1041" t="str">
        <x:v>TV-502</x:v>
      </x:c>
      <x:c r="H1041" t="str">
        <x:v>condenser cooling valve</x:v>
      </x:c>
      <x:c r="I1041" t="str">
        <x:v>control_valve</x:v>
      </x:c>
      <x:c r="J1041" t="str">
        <x:v>P3</x:v>
      </x:c>
      <x:c r="K1041" t="str">
        <x:v>CLSD</x:v>
      </x:c>
      <x:c r="L1041" t="str">
        <x:v>ROT</x:v>
      </x:c>
      <x:c r="M1041" t="str">
        <x:v>condenser_fouling</x:v>
      </x:c>
      <x:c r="N1041" t="str">
        <x:v>not stroking</x:v>
      </x:c>
      <x:c r="O1041" t="str">
        <x:v>NO_TRAVEL</x:v>
      </x:c>
      <x:c r="P1041" t="str">
        <x:v>ACT</x:v>
      </x:c>
      <x:c r="Q1041" t="str">
        <x:v>N</x:v>
      </x:c>
      <x:c r="R1041" t="str">
        <x:v>12.5</x:v>
      </x:c>
      <x:c r="S1041" t="str">
        <x:v>4891.01</x:v>
      </x:c>
      <x:c r="T1041" t="str">
        <x:v>TV-502 not ok after condenser fouling</x:v>
      </x:c>
      <x:c r="U1041" t="str">
        <x:v>A shift called for TV-502 condenser cooling vavle, pic wide open seen during condenser fouling. Foud not stroking; actuator weak. No spare in store at first, used refurb one from shop. opened strainer, cleaned black sludge. temp repair only, plan shutdown job. notif made by ops, maint attended same shift.</x:v>
      </x:c>
    </x:row>
    <x:row r="1042" ht="15" hidden="0" customHeight="1">
      <x:c r="A1042" t="str">
        <x:v>10451041</x:v>
      </x:c>
      <x:c r="B1042" t="str">
        <x:v>40871041</x:v>
      </x:c>
      <x:c r="C1042" t="str">
        <x:v>2025-07-30</x:v>
      </x:c>
      <x:c r="D1042" t="str">
        <x:v>2025-08-01</x:v>
      </x:c>
      <x:c r="E1042" t="str">
        <x:v>2025-08-03</x:v>
      </x:c>
      <x:c r="F1042" t="str">
        <x:v>U400-DEETHANIZER-500</x:v>
      </x:c>
      <x:c r="G1042" t="str">
        <x:v>P-502A</x:v>
      </x:c>
      <x:c r="H1042" t="str">
        <x:v>bottoms pump A</x:v>
      </x:c>
      <x:c r="I1042" t="str">
        <x:v>pump</x:v>
      </x:c>
      <x:c r="J1042" t="str">
        <x:v>P3</x:v>
      </x:c>
      <x:c r="K1042" t="str">
        <x:v>TECO</x:v>
      </x:c>
      <x:c r="L1042" t="str">
        <x:v>ROT</x:v>
      </x:c>
      <x:c r="M1042" t="str">
        <x:v>normal_wear</x:v>
      </x:c>
      <x:c r="N1042" t="str">
        <x:v>bearing hot</x:v>
      </x:c>
      <x:c r="O1042" t="str">
        <x:v>BRG</x:v>
      </x:c>
      <x:c r="P1042" t="str">
        <x:v>WEAR</x:v>
      </x:c>
      <x:c r="Q1042" t="str">
        <x:v>N</x:v>
      </x:c>
      <x:c r="R1042" t="str">
        <x:v>7.8</x:v>
      </x:c>
      <x:c r="S1042" t="str">
        <x:v>12453.65</x:v>
      </x:c>
      <x:c r="T1042" t="str">
        <x:v>chk P-502A - bearing hot frm ops</x:v>
      </x:c>
      <x:c r="U1042" t="str">
        <x:v>C shift called for P-502A bottoms pump A, noise seen during normal wear. Foud bearing hot; brg rough, lube dark. flushed impulse/sample line. still little hunting but acceptable. notif made by ops, maint attended same shift.</x:v>
      </x:c>
    </x:row>
    <x:row r="1043" ht="15" hidden="0" customHeight="1">
      <x:c r="A1043" t="str">
        <x:v>10451042</x:v>
      </x:c>
      <x:c r="B1043" t="str">
        <x:v>40871042</x:v>
      </x:c>
      <x:c r="C1043" t="str">
        <x:v>2025-07-30</x:v>
      </x:c>
      <x:c r="D1043" t="str">
        <x:v>2025-08-01</x:v>
      </x:c>
      <x:c r="E1043" t="str">
        <x:v>2025-08-01</x:v>
      </x:c>
      <x:c r="F1043" t="str">
        <x:v>U400-DEETHANIZER-500</x:v>
      </x:c>
      <x:c r="G1043" t="str">
        <x:v>E-501</x:v>
      </x:c>
      <x:c r="H1043" t="str">
        <x:v>deethanizer reboiler</x:v>
      </x:c>
      <x:c r="I1043" t="str">
        <x:v>reboiler</x:v>
      </x:c>
      <x:c r="J1043" t="str">
        <x:v>P2</x:v>
      </x:c>
      <x:c r="K1043" t="str">
        <x:v>TECO</x:v>
      </x:c>
      <x:c r="L1043" t="str">
        <x:v>VALVE</x:v>
      </x:c>
      <x:c r="M1043" t="str">
        <x:v>reboiler_duty_loss</x:v>
      </x:c>
      <x:c r="N1043" t="str">
        <x:v>low duty</x:v>
      </x:c>
      <x:c r="O1043" t="str">
        <x:v>DUTY_LOSS</x:v>
      </x:c>
      <x:c r="P1043" t="str">
        <x:v>UTILITY</x:v>
      </x:c>
      <x:c r="Q1043" t="str">
        <x:v>N</x:v>
      </x:c>
      <x:c r="R1043" t="str">
        <x:v>2.6</x:v>
      </x:c>
      <x:c r="S1043" t="str">
        <x:v>2858.04</x:v>
      </x:c>
      <x:c r="T1043" t="str">
        <x:v>E-501 low duty again, prod upset</x:v>
      </x:c>
      <x:c r="U1043" t="str">
        <x:v>B shift called for E-501 deethanizer reboiler, c2 in btm seen during reboiler duty loss. Foud low duty; hm vavle/strainer issue. opened strainer, cleaned black sludge. need watch next feed swing. notif made by ops, maint attended same shift.</x:v>
      </x:c>
    </x:row>
    <x:row r="1044" ht="15" hidden="0" customHeight="1">
      <x:c r="A1044" t="str">
        <x:v>10451043</x:v>
      </x:c>
      <x:c r="B1044" t="str">
        <x:v>40871043</x:v>
      </x:c>
      <x:c r="C1044" t="str">
        <x:v>2025-08-04</x:v>
      </x:c>
      <x:c r="D1044" t="str">
        <x:v>2025-08-04</x:v>
      </x:c>
      <x:c r="E1044" t="str">
        <x:v>2025-08-09</x:v>
      </x:c>
      <x:c r="F1044" t="str">
        <x:v>U400-DEETHANIZER-500</x:v>
      </x:c>
      <x:c r="G1044" t="str">
        <x:v>TV-501</x:v>
      </x:c>
      <x:c r="H1044" t="str">
        <x:v>reboiler hot medium valve</x:v>
      </x:c>
      <x:c r="I1044" t="str">
        <x:v>control_valve</x:v>
      </x:c>
      <x:c r="J1044" t="str">
        <x:v>P2</x:v>
      </x:c>
      <x:c r="K1044" t="str">
        <x:v>TECO</x:v>
      </x:c>
      <x:c r="L1044" t="str">
        <x:v>VALVE</x:v>
      </x:c>
      <x:c r="M1044" t="str">
        <x:v>feed_temperature_ramp</x:v>
      </x:c>
      <x:c r="N1044" t="str">
        <x:v>not stroking</x:v>
      </x:c>
      <x:c r="O1044" t="str">
        <x:v>NO_TRAVEL</x:v>
      </x:c>
      <x:c r="P1044" t="str">
        <x:v>ACT</x:v>
      </x:c>
      <x:c r="Q1044" t="str">
        <x:v>N</x:v>
      </x:c>
      <x:c r="R1044" t="str">
        <x:v>3.7</x:v>
      </x:c>
      <x:c r="S1044" t="str">
        <x:v>6593.81</x:v>
      </x:c>
      <x:c r="T1044" t="str">
        <x:v>TV-501 not stroking again, prod upset</x:v>
      </x:c>
      <x:c r="U1044" t="str">
        <x:v>A shift called for TV-501 reboiler hot medium valve, spec off seen during feed temperature ramp. Foud not stroking; actuator weak. Tag plate dirty, confirmd by line up with panel. opened strainer, cleaned black sludge. need watch next feed swing. notif made by ops, maint attended same shift.</x:v>
      </x:c>
    </x:row>
    <x:row r="1045" ht="15" hidden="0" customHeight="1">
      <x:c r="A1045" t="str">
        <x:v>10451044</x:v>
      </x:c>
      <x:c r="B1045" t="str">
        <x:v>40871044</x:v>
      </x:c>
      <x:c r="C1045" t="str">
        <x:v>2025-08-04</x:v>
      </x:c>
      <x:c r="D1045" t="str">
        <x:v>2025-08-04</x:v>
      </x:c>
      <x:c r="E1045" t="str">
        <x:v>2025-08-11</x:v>
      </x:c>
      <x:c r="F1045" t="str">
        <x:v>U400-DEETHANIZER-500</x:v>
      </x:c>
      <x:c r="G1045" t="str">
        <x:v>E-503</x:v>
      </x:c>
      <x:c r="H1045" t="str">
        <x:v>feed bottoms exchanger</x:v>
      </x:c>
      <x:c r="I1045" t="str">
        <x:v>exchanger</x:v>
      </x:c>
      <x:c r="J1045" t="str">
        <x:v>P2</x:v>
      </x:c>
      <x:c r="K1045" t="str">
        <x:v>CLSD</x:v>
      </x:c>
      <x:c r="L1045" t="str">
        <x:v>MECH</x:v>
      </x:c>
      <x:c r="M1045" t="str">
        <x:v>feed_composition_shift</x:v>
      </x:c>
      <x:c r="N1045" t="str">
        <x:v>plugged pass</x:v>
      </x:c>
      <x:c r="O1045" t="str">
        <x:v>PLUG</x:v>
      </x:c>
      <x:c r="P1045" t="str">
        <x:v>FOUL</x:v>
      </x:c>
      <x:c r="Q1045" t="str">
        <x:v>N</x:v>
      </x:c>
      <x:c r="R1045" t="str">
        <x:v>14.6</x:v>
      </x:c>
      <x:c r="S1045" t="str">
        <x:v>9401.15</x:v>
      </x:c>
      <x:c r="T1045" t="str">
        <x:v>chk E-503 - plugged pass frm ops</x:v>
      </x:c>
      <x:c r="U1045" t="str">
        <x:v>B shift called for E-503 feed bottoms exchanger, btm heavy seen during feed composition shift. Foud plugged pass; flow restricted. Tag plate dirty, confirmd by line up with panel. calibrated, loop checked with CCR. no leak at handover. notif made by ops, maint attended same shift.</x:v>
      </x:c>
    </x:row>
    <x:row r="1046" ht="15" hidden="0" customHeight="1">
      <x:c r="A1046" t="str">
        <x:v>10451045</x:v>
      </x:c>
      <x:c r="B1046" t="str">
        <x:v>40871045</x:v>
      </x:c>
      <x:c r="C1046" t="str">
        <x:v>2025-08-06</x:v>
      </x:c>
      <x:c r="D1046" t="str">
        <x:v>2025-08-08</x:v>
      </x:c>
      <x:c r="E1046" t="str">
        <x:v>2025-08-13</x:v>
      </x:c>
      <x:c r="F1046" t="str">
        <x:v>U400-DEETHANIZER-500</x:v>
      </x:c>
      <x:c r="G1046" t="str">
        <x:v>FV-501</x:v>
      </x:c>
      <x:c r="H1046" t="str">
        <x:v>feed flow control valve</x:v>
      </x:c>
      <x:c r="I1046" t="str">
        <x:v>control_valve</x:v>
      </x:c>
      <x:c r="J1046" t="str">
        <x:v>P3</x:v>
      </x:c>
      <x:c r="K1046" t="str">
        <x:v>CLSD</x:v>
      </x:c>
      <x:c r="L1046" t="str">
        <x:v>INST</x:v>
      </x:c>
      <x:c r="M1046" t="str">
        <x:v>reboiler_duty_loss</x:v>
      </x:c>
      <x:c r="N1046" t="str">
        <x:v>stiction</x:v>
      </x:c>
      <x:c r="O1046" t="str">
        <x:v>STICK</x:v>
      </x:c>
      <x:c r="P1046" t="str">
        <x:v>PACKING</x:v>
      </x:c>
      <x:c r="Q1046" t="str">
        <x:v>N</x:v>
      </x:c>
      <x:c r="R1046" t="str">
        <x:v>13.0</x:v>
      </x:c>
      <x:c r="S1046" t="str">
        <x:v>1902.04</x:v>
      </x:c>
      <x:c r="T1046" t="str">
        <x:v>FV-501 stiction again, prod upset</x:v>
      </x:c>
      <x:c r="U1046" t="str">
        <x:v>night called for FV-501 feed flow ctrl valve, low heat seen during reboiler duty loss. Foud stiction; stem sticky and pos err. replaced positioner tubing and retuned small. readng close to dcs after job. notif made by ops, maint attended same shift.</x:v>
      </x:c>
    </x:row>
    <x:row r="1047" ht="15" hidden="0" customHeight="1">
      <x:c r="A1047" t="str">
        <x:v>10451046</x:v>
      </x:c>
      <x:c r="B1047" t="str">
        <x:v>40871046</x:v>
      </x:c>
      <x:c r="C1047" t="str">
        <x:v>2025-08-05</x:v>
      </x:c>
      <x:c r="D1047" t="str">
        <x:v>2025-08-05</x:v>
      </x:c>
      <x:c r="E1047" t="str">
        <x:v>2025-08-05</x:v>
      </x:c>
      <x:c r="F1047" t="str">
        <x:v>U400-DEETHANIZER-500</x:v>
      </x:c>
      <x:c r="G1047" t="str">
        <x:v>DPT-501</x:v>
      </x:c>
      <x:c r="H1047" t="str">
        <x:v>column diff pressure tx</x:v>
      </x:c>
      <x:c r="I1047" t="str">
        <x:v>instrument</x:v>
      </x:c>
      <x:c r="J1047" t="str">
        <x:v>P2</x:v>
      </x:c>
      <x:c r="K1047" t="str">
        <x:v>TECO</x:v>
      </x:c>
      <x:c r="L1047" t="str">
        <x:v>E&amp;I</x:v>
      </x:c>
      <x:c r="M1047" t="str">
        <x:v>reboiler_duty_loss</x:v>
      </x:c>
      <x:c r="N1047" t="str">
        <x:v>bad reading</x:v>
      </x:c>
      <x:c r="O1047" t="str">
        <x:v>DRIFT</x:v>
      </x:c>
      <x:c r="P1047" t="str">
        <x:v>CAL</x:v>
      </x:c>
      <x:c r="Q1047" t="str">
        <x:v>N</x:v>
      </x:c>
      <x:c r="R1047" t="str">
        <x:v>7.6</x:v>
      </x:c>
      <x:c r="S1047" t="str">
        <x:v>3910.83</x:v>
      </x:c>
      <x:c r="T1047" t="str">
        <x:v>DPT-501 low heat, bad reading</x:v>
      </x:c>
      <x:c r="U1047" t="str">
        <x:v>night called for DPT-501 column diff pressure tx, steam/hm valve no resp seen during reboiler duty loss. Foud bad reading; needs calib. replaced positioner tubing and retuned small. temp repair only, plan shutdown job. notif made by ops, maint attended same shift.</x:v>
      </x:c>
    </x:row>
    <x:row r="1048" ht="15" hidden="0" customHeight="1">
      <x:c r="A1048" t="str">
        <x:v>10451047</x:v>
      </x:c>
      <x:c r="B1048" t="str">
        <x:v>40871047</x:v>
      </x:c>
      <x:c r="C1048" t="str">
        <x:v>2025-08-06</x:v>
      </x:c>
      <x:c r="D1048" t="str">
        <x:v>2025-08-07</x:v>
      </x:c>
      <x:c r="E1048" t="str">
        <x:v>2025-08-10</x:v>
      </x:c>
      <x:c r="F1048" t="str">
        <x:v>U400-DEETHANIZER-500</x:v>
      </x:c>
      <x:c r="G1048" t="str">
        <x:v>LV-501</x:v>
      </x:c>
      <x:c r="H1048" t="str">
        <x:v>reflux drum level valve</x:v>
      </x:c>
      <x:c r="I1048" t="str">
        <x:v>control_valve</x:v>
      </x:c>
      <x:c r="J1048" t="str">
        <x:v>P3</x:v>
      </x:c>
      <x:c r="K1048" t="str">
        <x:v>TECO</x:v>
      </x:c>
      <x:c r="L1048" t="str">
        <x:v>OPS+MECH</x:v>
      </x:c>
      <x:c r="M1048" t="str">
        <x:v>feed_temperature_ramp</x:v>
      </x:c>
      <x:c r="N1048" t="str">
        <x:v>hunting loop</x:v>
      </x:c>
      <x:c r="O1048" t="str">
        <x:v>CTRL_OSC</x:v>
      </x:c>
      <x:c r="P1048" t="str">
        <x:v>TUNE</x:v>
      </x:c>
      <x:c r="Q1048" t="str">
        <x:v>N</x:v>
      </x:c>
      <x:c r="R1048" t="str">
        <x:v>11.9</x:v>
      </x:c>
      <x:c r="S1048" t="str">
        <x:v>4709.2</x:v>
      </x:c>
      <x:c r="T1048" t="str">
        <x:v>chk LV-501 - hunting loop frm ops</x:v>
      </x:c>
      <x:c r="U1048" t="str">
        <x:v>night called for LV-501 reflux drum level vavle, ovhd press moving seen during feed temperature ramp. Foud hunting loop; bad response after upset. Line was hot so job done slow and with ops standing by. flushed impulse/sample line. temp repair only, plan shutdown job. notif made by ops, maint attended same shift.</x:v>
      </x:c>
    </x:row>
    <x:row r="1049" ht="15" hidden="0" customHeight="1">
      <x:c r="A1049" t="str">
        <x:v>10451048</x:v>
      </x:c>
      <x:c r="B1049" t="str">
        <x:v>40871048</x:v>
      </x:c>
      <x:c r="C1049" t="str">
        <x:v>2025-08-12</x:v>
      </x:c>
      <x:c r="D1049" t="str">
        <x:v>2025-08-13</x:v>
      </x:c>
      <x:c r="E1049" t="str">
        <x:v>2025-08-14</x:v>
      </x:c>
      <x:c r="F1049" t="str">
        <x:v>U400-DEETHANIZER-500</x:v>
      </x:c>
      <x:c r="G1049" t="str">
        <x:v>TT-501B</x:v>
      </x:c>
      <x:c r="H1049" t="str">
        <x:v>sensitive tray temperature tx</x:v>
      </x:c>
      <x:c r="I1049" t="str">
        <x:v>instrument</x:v>
      </x:c>
      <x:c r="J1049" t="str">
        <x:v>P4</x:v>
      </x:c>
      <x:c r="K1049" t="str">
        <x:v>COMP</x:v>
      </x:c>
      <x:c r="L1049" t="str">
        <x:v>INST</x:v>
      </x:c>
      <x:c r="M1049" t="str">
        <x:v>reboiler_duty_loss</x:v>
      </x:c>
      <x:c r="N1049" t="str">
        <x:v>impulse plugged</x:v>
      </x:c>
      <x:c r="O1049" t="str">
        <x:v>PLUG</x:v>
      </x:c>
      <x:c r="P1049" t="str">
        <x:v>PROCESS</x:v>
      </x:c>
      <x:c r="Q1049" t="str">
        <x:v>N</x:v>
      </x:c>
      <x:c r="R1049" t="str">
        <x:v>1.6</x:v>
      </x:c>
      <x:c r="S1049" t="str">
        <x:v>1155.01</x:v>
      </x:c>
      <x:c r="T1049" t="str">
        <x:v>TT-501B impulse plugged again, prod upset</x:v>
      </x:c>
      <x:c r="U1049" t="str">
        <x:v>night called for TT-501B sensitive tray temperature tx, low heat seen during reboiler duty loss. Foud impulse plugged; tap/line dirty. Line was hot so job done slow and with ops standing by. tightened fittings, leak test ok. unit stable now. notif made by ops, maint attended same shift.</x:v>
      </x:c>
    </x:row>
    <x:row r="1050" ht="15" hidden="0" customHeight="1">
      <x:c r="A1050" t="str">
        <x:v>10451049</x:v>
      </x:c>
      <x:c r="B1050" t="str">
        <x:v>40871049</x:v>
      </x:c>
      <x:c r="C1050" t="str">
        <x:v>2025-08-10</x:v>
      </x:c>
      <x:c r="D1050" t="str">
        <x:v>2025-08-12</x:v>
      </x:c>
      <x:c r="E1050" t="str">
        <x:v>2025-08-14</x:v>
      </x:c>
      <x:c r="F1050" t="str">
        <x:v>U400-DEETHANIZER-500</x:v>
      </x:c>
      <x:c r="G1050" t="str">
        <x:v>T-501</x:v>
      </x:c>
      <x:c r="H1050" t="str">
        <x:v>deethanizer column</x:v>
      </x:c>
      <x:c r="I1050" t="str">
        <x:v>column</x:v>
      </x:c>
      <x:c r="J1050" t="str">
        <x:v>P3</x:v>
      </x:c>
      <x:c r="K1050" t="str">
        <x:v>COMP</x:v>
      </x:c>
      <x:c r="L1050" t="str">
        <x:v>OPS+MECH</x:v>
      </x:c>
      <x:c r="M1050" t="str">
        <x:v>feed_flow_step</x:v>
      </x:c>
      <x:c r="N1050" t="str">
        <x:v>weeping flange</x:v>
      </x:c>
      <x:c r="O1050" t="str">
        <x:v>LEAK</x:v>
      </x:c>
      <x:c r="P1050" t="str">
        <x:v>GASKET</x:v>
      </x:c>
      <x:c r="Q1050" t="str">
        <x:v>N</x:v>
      </x:c>
      <x:c r="R1050" t="str">
        <x:v>14.5</x:v>
      </x:c>
      <x:c r="S1050" t="str">
        <x:v>970.98</x:v>
      </x:c>
      <x:c r="T1050" t="str">
        <x:v>chk T-501 - weeping flange frm ops</x:v>
      </x:c>
      <x:c r="U1050" t="str">
        <x:v>C shift called for T-501 deethanizer column, lvl swing seen during feed flow step. Foud weeping flange; manway/flange seep. History shows same complain last mnth. flushed impulse/sample line. ops says ok for now. notif made by ops, maint attended same shift.</x:v>
      </x:c>
    </x:row>
    <x:row r="1051" ht="15" hidden="0" customHeight="1">
      <x:c r="A1051" t="str">
        <x:v>10451050</x:v>
      </x:c>
      <x:c r="B1051" t="str">
        <x:v>40871050</x:v>
      </x:c>
      <x:c r="C1051" t="str">
        <x:v>2025-08-10</x:v>
      </x:c>
      <x:c r="D1051" t="str">
        <x:v>2025-08-12</x:v>
      </x:c>
      <x:c r="E1051" t="str">
        <x:v>2025-08-13</x:v>
      </x:c>
      <x:c r="F1051" t="str">
        <x:v>U400-DEETHANIZER-500</x:v>
      </x:c>
      <x:c r="G1051" t="str">
        <x:v>TV-501</x:v>
      </x:c>
      <x:c r="H1051" t="str">
        <x:v>reboiler hot medium valve</x:v>
      </x:c>
      <x:c r="I1051" t="str">
        <x:v>control_valve</x:v>
      </x:c>
      <x:c r="J1051" t="str">
        <x:v>P2</x:v>
      </x:c>
      <x:c r="K1051" t="str">
        <x:v>COMP</x:v>
      </x:c>
      <x:c r="L1051" t="str">
        <x:v>ANLYZR</x:v>
      </x:c>
      <x:c r="M1051" t="str">
        <x:v>normal_wear</x:v>
      </x:c>
      <x:c r="N1051" t="str">
        <x:v>not stroking</x:v>
      </x:c>
      <x:c r="O1051" t="str">
        <x:v>NO_TRAVEL</x:v>
      </x:c>
      <x:c r="P1051" t="str">
        <x:v>ACT</x:v>
      </x:c>
      <x:c r="Q1051" t="str">
        <x:v>N</x:v>
      </x:c>
      <x:c r="R1051" t="str">
        <x:v>17.4</x:v>
      </x:c>
      <x:c r="S1051" t="str">
        <x:v>2505.19</x:v>
      </x:c>
      <x:c r="T1051" t="str">
        <x:v>TV-501 plugged impulse, not stroking</x:v>
      </x:c>
      <x:c r="U1051" t="str">
        <x:v>B shift called for TV-501 reboiler hot medium vavle, bad reading seen during normal wear. Foud not stroking; actuator weak. opened strainer, cleaned black sludge. temp repair only, plan shutdown job. notif made by ops, maint attended same shift.</x:v>
      </x:c>
    </x:row>
    <x:row r="1052" ht="15" hidden="0" customHeight="1">
      <x:c r="A1052" t="str">
        <x:v>10451051</x:v>
      </x:c>
      <x:c r="B1052" t="str">
        <x:v>40871051</x:v>
      </x:c>
      <x:c r="C1052" t="str">
        <x:v>2025-08-16</x:v>
      </x:c>
      <x:c r="D1052" t="str">
        <x:v>2025-08-16</x:v>
      </x:c>
      <x:c r="E1052" t="str">
        <x:v>2025-08-17</x:v>
      </x:c>
      <x:c r="F1052" t="str">
        <x:v>U400-DEETHANIZER-500</x:v>
      </x:c>
      <x:c r="G1052" t="str">
        <x:v>XV-501</x:v>
      </x:c>
      <x:c r="H1052" t="str">
        <x:v>feed shutdown valve</x:v>
      </x:c>
      <x:c r="I1052" t="str">
        <x:v>shutdown_valve</x:v>
      </x:c>
      <x:c r="J1052" t="str">
        <x:v>P2</x:v>
      </x:c>
      <x:c r="K1052" t="str">
        <x:v>COMP</x:v>
      </x:c>
      <x:c r="L1052" t="str">
        <x:v>E&amp;I</x:v>
      </x:c>
      <x:c r="M1052" t="str">
        <x:v>feed_composition_shift</x:v>
      </x:c>
      <x:c r="N1052" t="str">
        <x:v>solenoid fault</x:v>
      </x:c>
      <x:c r="O1052" t="str">
        <x:v>SOL</x:v>
      </x:c>
      <x:c r="P1052" t="str">
        <x:v>ELEC</x:v>
      </x:c>
      <x:c r="Q1052" t="str">
        <x:v>N</x:v>
      </x:c>
      <x:c r="R1052" t="str">
        <x:v>6.2</x:v>
      </x:c>
      <x:c r="S1052" t="str">
        <x:v>724.2</x:v>
      </x:c>
      <x:c r="T1052" t="str">
        <x:v>chk XV-501 - solenoid fault frm ops</x:v>
      </x:c>
      <x:c r="U1052" t="str">
        <x:v>days called for XV-501 feed shutdown valve, c3 in feed hi seen during feed composition shift. Foud solenoid fault; coil hot/no shift. swapped to standby and repaired. unit stable now. notif made by ops, maint attended same shift.</x:v>
      </x:c>
    </x:row>
    <x:row r="1053" ht="15" hidden="0" customHeight="1">
      <x:c r="A1053" t="str">
        <x:v>10451052</x:v>
      </x:c>
      <x:c r="B1053" t="str">
        <x:v>40871052</x:v>
      </x:c>
      <x:c r="C1053" t="str">
        <x:v>2025-08-14</x:v>
      </x:c>
      <x:c r="D1053" t="str">
        <x:v>2025-08-16</x:v>
      </x:c>
      <x:c r="E1053" t="str">
        <x:v>2025-08-17</x:v>
      </x:c>
      <x:c r="F1053" t="str">
        <x:v>U400-DEETHANIZER-500</x:v>
      </x:c>
      <x:c r="G1053" t="str">
        <x:v>TT-503</x:v>
      </x:c>
      <x:c r="H1053" t="str">
        <x:v>reboiler outlet temperature tx</x:v>
      </x:c>
      <x:c r="I1053" t="str">
        <x:v>instrument</x:v>
      </x:c>
      <x:c r="J1053" t="str">
        <x:v>P4</x:v>
      </x:c>
      <x:c r="K1053" t="str">
        <x:v>TECO</x:v>
      </x:c>
      <x:c r="L1053" t="str">
        <x:v>OPS+INST</x:v>
      </x:c>
      <x:c r="M1053" t="str">
        <x:v>reboiler_duty_loss</x:v>
      </x:c>
      <x:c r="N1053" t="str">
        <x:v>impulse plugged</x:v>
      </x:c>
      <x:c r="O1053" t="str">
        <x:v>PLUG</x:v>
      </x:c>
      <x:c r="P1053" t="str">
        <x:v>PROCESS</x:v>
      </x:c>
      <x:c r="Q1053" t="str">
        <x:v>N</x:v>
      </x:c>
      <x:c r="R1053" t="str">
        <x:v>12.4</x:v>
      </x:c>
      <x:c r="S1053" t="str">
        <x:v>4032.03</x:v>
      </x:c>
      <x:c r="T1053" t="str">
        <x:v>TT-503 impulse plugged again, prod upset</x:v>
      </x:c>
      <x:c r="U1053" t="str">
        <x:v>A shift called for TT-503 reboiler outlet temperature tx, c2 in btm seen during reboiler duty loss. Foud impulse plugged; tap/line dirty. Tag plate dirty, confirmd by line up with panel. stroke tested, response better. need watch next feed swing. notif made by ops, maint attended same shift.</x:v>
      </x:c>
    </x:row>
    <x:row r="1054" ht="15" hidden="0" customHeight="1">
      <x:c r="A1054" t="str">
        <x:v>10451053</x:v>
      </x:c>
      <x:c r="B1054" t="str">
        <x:v>40871053</x:v>
      </x:c>
      <x:c r="C1054" t="str">
        <x:v>2025-08-18</x:v>
      </x:c>
      <x:c r="D1054" t="str">
        <x:v>2025-08-19</x:v>
      </x:c>
      <x:c r="E1054" t="str">
        <x:v>2025-08-26</x:v>
      </x:c>
      <x:c r="F1054" t="str">
        <x:v>U400-DEETHANIZER-500</x:v>
      </x:c>
      <x:c r="G1054" t="str">
        <x:v>T-501</x:v>
      </x:c>
      <x:c r="H1054" t="str">
        <x:v>deethanizer column</x:v>
      </x:c>
      <x:c r="I1054" t="str">
        <x:v>column</x:v>
      </x:c>
      <x:c r="J1054" t="str">
        <x:v>P3</x:v>
      </x:c>
      <x:c r="K1054" t="str">
        <x:v>TECO</x:v>
      </x:c>
      <x:c r="L1054" t="str">
        <x:v>MECH</x:v>
      </x:c>
      <x:c r="M1054" t="str">
        <x:v>feed_flow_step</x:v>
      </x:c>
      <x:c r="N1054" t="str">
        <x:v>level unstable</x:v>
      </x:c>
      <x:c r="O1054" t="str">
        <x:v>LVL_SWING</x:v>
      </x:c>
      <x:c r="P1054" t="str">
        <x:v>CTRL</x:v>
      </x:c>
      <x:c r="Q1054" t="str">
        <x:v>N</x:v>
      </x:c>
      <x:c r="R1054" t="str">
        <x:v>6.7</x:v>
      </x:c>
      <x:c r="S1054" t="str">
        <x:v>474.48</x:v>
      </x:c>
      <x:c r="T1054" t="str">
        <x:v>chk T-501 - level unstable frm ops</x:v>
      </x:c>
      <x:c r="U1054" t="str">
        <x:v>days called for T-501 deethanizer column, c2 recov down seen during feed flow step. Foud level unstable; sump level swing. opened strainer, cleaned black sludge. readng close to dcs after job. notif made by ops, maint attended same shift.</x:v>
      </x:c>
    </x:row>
    <x:row r="1055" ht="15" hidden="0" customHeight="1">
      <x:c r="A1055" t="str">
        <x:v>10451054</x:v>
      </x:c>
      <x:c r="B1055" t="str">
        <x:v>40871054</x:v>
      </x:c>
      <x:c r="C1055" t="str">
        <x:v>2025-08-20</x:v>
      </x:c>
      <x:c r="D1055" t="str">
        <x:v>2025-08-22</x:v>
      </x:c>
      <x:c r="E1055" t="str">
        <x:v>2025-08-23</x:v>
      </x:c>
      <x:c r="F1055" t="str">
        <x:v>U400-DEETHANIZER-500</x:v>
      </x:c>
      <x:c r="G1055" t="str">
        <x:v>FV-502</x:v>
      </x:c>
      <x:c r="H1055" t="str">
        <x:v>reflux flow control valve</x:v>
      </x:c>
      <x:c r="I1055" t="str">
        <x:v>control_valve</x:v>
      </x:c>
      <x:c r="J1055" t="str">
        <x:v>P1</x:v>
      </x:c>
      <x:c r="K1055" t="str">
        <x:v>CLSD</x:v>
      </x:c>
      <x:c r="L1055" t="str">
        <x:v>INST</x:v>
      </x:c>
      <x:c r="M1055" t="str">
        <x:v>feed_temperature_ramp</x:v>
      </x:c>
      <x:c r="N1055" t="str">
        <x:v>not stroking</x:v>
      </x:c>
      <x:c r="O1055" t="str">
        <x:v>NO_TRAVEL</x:v>
      </x:c>
      <x:c r="P1055" t="str">
        <x:v>ACT</x:v>
      </x:c>
      <x:c r="Q1055" t="str">
        <x:v>Y</x:v>
      </x:c>
      <x:c r="R1055" t="str">
        <x:v>11.0</x:v>
      </x:c>
      <x:c r="S1055" t="str">
        <x:v>6269.7</x:v>
      </x:c>
      <x:c r="T1055" t="str">
        <x:v>FV-502 spec off, not stroking</x:v>
      </x:c>
      <x:c r="U1055" t="str">
        <x:v>C shift called for FV-502 reflux flow ctrl valve, feed temp high seen during feed temperature ramp. Foud not stroking; actuator weak. Tag plate dirty, confirmd by line up with panel. calibrated, loop chekd with CCR. readng close to dcs after job. notif made by ops, maint attended same shift.</x:v>
      </x:c>
    </x:row>
    <x:row r="1056" ht="15" hidden="0" customHeight="1">
      <x:c r="A1056" t="str">
        <x:v>10451055</x:v>
      </x:c>
      <x:c r="B1056" t="str">
        <x:v>40871055</x:v>
      </x:c>
      <x:c r="C1056" t="str">
        <x:v>2025-08-19</x:v>
      </x:c>
      <x:c r="D1056" t="str">
        <x:v>2025-08-19</x:v>
      </x:c>
      <x:c r="E1056" t="str">
        <x:v>2025-08-19</x:v>
      </x:c>
      <x:c r="F1056" t="str">
        <x:v>U400-DEETHANIZER-500</x:v>
      </x:c>
      <x:c r="G1056" t="str">
        <x:v>E-502</x:v>
      </x:c>
      <x:c r="H1056" t="str">
        <x:v>deethanizer overhead condenser</x:v>
      </x:c>
      <x:c r="I1056" t="str">
        <x:v>condenser</x:v>
      </x:c>
      <x:c r="J1056" t="str">
        <x:v>P3</x:v>
      </x:c>
      <x:c r="K1056" t="str">
        <x:v>COMP</x:v>
      </x:c>
      <x:c r="L1056" t="str">
        <x:v>E&amp;I</x:v>
      </x:c>
      <x:c r="M1056" t="str">
        <x:v>condenser_fouling</x:v>
      </x:c>
      <x:c r="N1056" t="str">
        <x:v>cw fouling</x:v>
      </x:c>
      <x:c r="O1056" t="str">
        <x:v>FOULING</x:v>
      </x:c>
      <x:c r="P1056" t="str">
        <x:v>UTILITY</x:v>
      </x:c>
      <x:c r="Q1056" t="str">
        <x:v>N</x:v>
      </x:c>
      <x:c r="R1056" t="str">
        <x:v>15.3</x:v>
      </x:c>
      <x:c r="S1056" t="str">
        <x:v>5398.92</x:v>
      </x:c>
      <x:c r="T1056" t="str">
        <x:v>chk E-502 - cw fouling frm ops</x:v>
      </x:c>
      <x:c r="U1056" t="str">
        <x:v>night called for E-502 deethanizer overhead condenser, high ovhd press seen during condenser fouling. Foud cw fouling; cw side scaled. cleaned and put back online. readng close to dcs after job. notif made by ops, maint attended same shift.</x:v>
      </x:c>
    </x:row>
    <x:row r="1057" ht="15" hidden="0" customHeight="1">
      <x:c r="A1057" t="str">
        <x:v>10451056</x:v>
      </x:c>
      <x:c r="B1057" t="str">
        <x:v>40871056</x:v>
      </x:c>
      <x:c r="C1057" t="str">
        <x:v>2025-08-19</x:v>
      </x:c>
      <x:c r="D1057" t="str">
        <x:v>2025-08-20</x:v>
      </x:c>
      <x:c r="E1057" t="str">
        <x:v>2025-08-20</x:v>
      </x:c>
      <x:c r="F1057" t="str">
        <x:v>U400-DEETHANIZER-500</x:v>
      </x:c>
      <x:c r="G1057" t="str">
        <x:v>TV-501</x:v>
      </x:c>
      <x:c r="H1057" t="str">
        <x:v>reboiler hot medium valve</x:v>
      </x:c>
      <x:c r="I1057" t="str">
        <x:v>control_valve</x:v>
      </x:c>
      <x:c r="J1057" t="str">
        <x:v>P2</x:v>
      </x:c>
      <x:c r="K1057" t="str">
        <x:v>CLSD</x:v>
      </x:c>
      <x:c r="L1057" t="str">
        <x:v>ANLYZR</x:v>
      </x:c>
      <x:c r="M1057" t="str">
        <x:v>feed_temperature_ramp</x:v>
      </x:c>
      <x:c r="N1057" t="str">
        <x:v>hunting loop</x:v>
      </x:c>
      <x:c r="O1057" t="str">
        <x:v>CTRL_OSC</x:v>
      </x:c>
      <x:c r="P1057" t="str">
        <x:v>TUNE</x:v>
      </x:c>
      <x:c r="Q1057" t="str">
        <x:v>N</x:v>
      </x:c>
      <x:c r="R1057" t="str">
        <x:v>5.9</x:v>
      </x:c>
      <x:c r="S1057" t="str">
        <x:v>2230.65</x:v>
      </x:c>
      <x:c r="T1057" t="str">
        <x:v>TV-501 feed temp high, hunting loop</x:v>
      </x:c>
      <x:c r="U1057" t="str">
        <x:v>C shift called for TV-501 reboiler hot medium valve, ovhd press moving seen during feed temperature ramp. Foud hunting loop; bad response after upset. replaced positioner tubing and retuned small. need watch next feed swing. notif made by ops, maint attended same shift.</x:v>
      </x:c>
    </x:row>
    <x:row r="1058" ht="15" hidden="0" customHeight="1">
      <x:c r="A1058" t="str">
        <x:v>10451057</x:v>
      </x:c>
      <x:c r="B1058" t="str">
        <x:v>40871057</x:v>
      </x:c>
      <x:c r="C1058" t="str">
        <x:v>2025-08-23</x:v>
      </x:c>
      <x:c r="D1058" t="str">
        <x:v>2025-08-24</x:v>
      </x:c>
      <x:c r="E1058" t="str">
        <x:v>2025-08-26</x:v>
      </x:c>
      <x:c r="F1058" t="str">
        <x:v>U400-DEETHANIZER-500</x:v>
      </x:c>
      <x:c r="G1058" t="str">
        <x:v>TV-502</x:v>
      </x:c>
      <x:c r="H1058" t="str">
        <x:v>condenser cooling valve</x:v>
      </x:c>
      <x:c r="I1058" t="str">
        <x:v>control_valve</x:v>
      </x:c>
      <x:c r="J1058" t="str">
        <x:v>P3</x:v>
      </x:c>
      <x:c r="K1058" t="str">
        <x:v>TECO</x:v>
      </x:c>
      <x:c r="L1058" t="str">
        <x:v>OPS+MECH</x:v>
      </x:c>
      <x:c r="M1058" t="str">
        <x:v>condenser_fouling</x:v>
      </x:c>
      <x:c r="N1058" t="str">
        <x:v>not stroking</x:v>
      </x:c>
      <x:c r="O1058" t="str">
        <x:v>NO_TRAVEL</x:v>
      </x:c>
      <x:c r="P1058" t="str">
        <x:v>ACT</x:v>
      </x:c>
      <x:c r="Q1058" t="str">
        <x:v>N</x:v>
      </x:c>
      <x:c r="R1058" t="str">
        <x:v>1.0</x:v>
      </x:c>
      <x:c r="S1058" t="str">
        <x:v>245.27</x:v>
      </x:c>
      <x:c r="T1058" t="str">
        <x:v>TV-502 not stroking again, prod upset</x:v>
      </x:c>
      <x:c r="U1058" t="str">
        <x:v>days called for TV-502 condenser cooling valve, pic wide open seen during condenser fouling. Foud not stroking; actuator weak. calibrated, loop checked with CCR. need watch next feed swing. notif made by ops, maint attended same shift.</x:v>
      </x:c>
    </x:row>
    <x:row r="1059" ht="15" hidden="0" customHeight="1">
      <x:c r="A1059" t="str">
        <x:v>10451058</x:v>
      </x:c>
      <x:c r="B1059" t="str">
        <x:v>40871058</x:v>
      </x:c>
      <x:c r="C1059" t="str">
        <x:v>2025-08-24</x:v>
      </x:c>
      <x:c r="D1059" t="str">
        <x:v>2025-08-24</x:v>
      </x:c>
      <x:c r="E1059" t="str">
        <x:v>2025-08-27</x:v>
      </x:c>
      <x:c r="F1059" t="str">
        <x:v>U400-DEETHANIZER-500</x:v>
      </x:c>
      <x:c r="G1059" t="str">
        <x:v>PV-501</x:v>
      </x:c>
      <x:c r="H1059" t="str">
        <x:v>column pressure control valve</x:v>
      </x:c>
      <x:c r="I1059" t="str">
        <x:v>control_valve</x:v>
      </x:c>
      <x:c r="J1059" t="str">
        <x:v>P2</x:v>
      </x:c>
      <x:c r="K1059" t="str">
        <x:v>CLSD</x:v>
      </x:c>
      <x:c r="L1059" t="str">
        <x:v>OPS+INST</x:v>
      </x:c>
      <x:c r="M1059" t="str">
        <x:v>condenser_fouling</x:v>
      </x:c>
      <x:c r="N1059" t="str">
        <x:v>air leak</x:v>
      </x:c>
      <x:c r="O1059" t="str">
        <x:v>AIR_LEAK</x:v>
      </x:c>
      <x:c r="P1059" t="str">
        <x:v>TUBING</x:v>
      </x:c>
      <x:c r="Q1059" t="str">
        <x:v>N</x:v>
      </x:c>
      <x:c r="R1059" t="str">
        <x:v>11.2</x:v>
      </x:c>
      <x:c r="S1059" t="str">
        <x:v>1097.31</x:v>
      </x:c>
      <x:c r="T1059" t="str">
        <x:v>PV-501 air leak again, prod upset</x:v>
      </x:c>
      <x:c r="U1059" t="str">
        <x:v>A shift called for PV-501 column pressure control vavle, high ovhd press seen during condenser fouling. Foud air leak; positioner supply drop. Line was hot so job done slow and with ops standing by. flushed impulse/sample line. need watch next feed swing. notif made by ops, maint attended same shift.</x:v>
      </x:c>
    </x:row>
    <x:row r="1060" ht="15" hidden="0" customHeight="1">
      <x:c r="A1060" t="str">
        <x:v>10451059</x:v>
      </x:c>
      <x:c r="B1060" t="str">
        <x:v>40871059</x:v>
      </x:c>
      <x:c r="C1060" t="str">
        <x:v>2025-08-23</x:v>
      </x:c>
      <x:c r="D1060" t="str">
        <x:v>2025-08-23</x:v>
      </x:c>
      <x:c r="E1060" t="str">
        <x:v>2025-08-25</x:v>
      </x:c>
      <x:c r="F1060" t="str">
        <x:v>U400-DEETHANIZER-500</x:v>
      </x:c>
      <x:c r="G1060" t="str">
        <x:v>P-501B</x:v>
      </x:c>
      <x:c r="H1060" t="str">
        <x:v>reflux pump B</x:v>
      </x:c>
      <x:c r="I1060" t="str">
        <x:v>pump</x:v>
      </x:c>
      <x:c r="J1060" t="str">
        <x:v>P3</x:v>
      </x:c>
      <x:c r="K1060" t="str">
        <x:v>CLSD</x:v>
      </x:c>
      <x:c r="L1060" t="str">
        <x:v>E&amp;I</x:v>
      </x:c>
      <x:c r="M1060" t="str">
        <x:v>reflux_pump_degradation</x:v>
      </x:c>
      <x:c r="N1060" t="str">
        <x:v>vib high</x:v>
      </x:c>
      <x:c r="O1060" t="str">
        <x:v>VIB</x:v>
      </x:c>
      <x:c r="P1060" t="str">
        <x:v>ALIGN</x:v>
      </x:c>
      <x:c r="Q1060" t="str">
        <x:v>N</x:v>
      </x:c>
      <x:c r="R1060" t="str">
        <x:v>6.3</x:v>
      </x:c>
      <x:c r="S1060" t="str">
        <x:v>16209.31</x:v>
      </x:c>
      <x:c r="T1060" t="str">
        <x:v>P-501B not ok after reflux pump degradation</x:v>
      </x:c>
      <x:c r="U1060" t="str">
        <x:v>B shift called for P-501B reflux pump B, pump vib seen during reflux pump degradation. Foud vib high; coupling align or cavitation. cleaned and put back online. unit stable now. notif made by ops, maint attended same shift.</x:v>
      </x:c>
    </x:row>
    <x:row r="1061" ht="15" hidden="0" customHeight="1">
      <x:c r="A1061" t="str">
        <x:v>10451060</x:v>
      </x:c>
      <x:c r="B1061" t="str">
        <x:v>40871060</x:v>
      </x:c>
      <x:c r="C1061" t="str">
        <x:v>2025-08-29</x:v>
      </x:c>
      <x:c r="D1061" t="str">
        <x:v>2025-08-30</x:v>
      </x:c>
      <x:c r="E1061" t="str">
        <x:v>2025-08-30</x:v>
      </x:c>
      <x:c r="F1061" t="str">
        <x:v>U400-DEETHANIZER-500</x:v>
      </x:c>
      <x:c r="G1061" t="str">
        <x:v>FV-502</x:v>
      </x:c>
      <x:c r="H1061" t="str">
        <x:v>reflux flow control valve</x:v>
      </x:c>
      <x:c r="I1061" t="str">
        <x:v>control_valve</x:v>
      </x:c>
      <x:c r="J1061" t="str">
        <x:v>P2</x:v>
      </x:c>
      <x:c r="K1061" t="str">
        <x:v>TECO</x:v>
      </x:c>
      <x:c r="L1061" t="str">
        <x:v>OPS+MECH</x:v>
      </x:c>
      <x:c r="M1061" t="str">
        <x:v>valve_stiction</x:v>
      </x:c>
      <x:c r="N1061" t="str">
        <x:v>stiction</x:v>
      </x:c>
      <x:c r="O1061" t="str">
        <x:v>STICK</x:v>
      </x:c>
      <x:c r="P1061" t="str">
        <x:v>PACKING</x:v>
      </x:c>
      <x:c r="Q1061" t="str">
        <x:v>N</x:v>
      </x:c>
      <x:c r="R1061" t="str">
        <x:v>5.9</x:v>
      </x:c>
      <x:c r="S1061" t="str">
        <x:v>1398.51</x:v>
      </x:c>
      <x:c r="T1061" t="str">
        <x:v>FV-502 stiction temp fix</x:v>
      </x:c>
      <x:c r="U1061" t="str">
        <x:v>days called for FV-502 rflx flow control valve, position bad seen during valve stiction. Foud stiction; stem sticky and pos err. tightened fittings, leak test ok. unit stable now. notif made by ops, maint attended same shift.</x:v>
      </x:c>
    </x:row>
    <x:row r="1062" ht="15" hidden="0" customHeight="1">
      <x:c r="A1062" t="str">
        <x:v>10451061</x:v>
      </x:c>
      <x:c r="B1062" t="str">
        <x:v>40871061</x:v>
      </x:c>
      <x:c r="C1062" t="str">
        <x:v>2025-08-26</x:v>
      </x:c>
      <x:c r="D1062" t="str">
        <x:v>2025-08-26</x:v>
      </x:c>
      <x:c r="E1062" t="str">
        <x:v>2025-08-27</x:v>
      </x:c>
      <x:c r="F1062" t="str">
        <x:v>U400-DEETHANIZER-500</x:v>
      </x:c>
      <x:c r="G1062" t="str">
        <x:v>P-501B</x:v>
      </x:c>
      <x:c r="H1062" t="str">
        <x:v>reflux pump B</x:v>
      </x:c>
      <x:c r="I1062" t="str">
        <x:v>pump</x:v>
      </x:c>
      <x:c r="J1062" t="str">
        <x:v>P2</x:v>
      </x:c>
      <x:c r="K1062" t="str">
        <x:v>COMP</x:v>
      </x:c>
      <x:c r="L1062" t="str">
        <x:v>MECH</x:v>
      </x:c>
      <x:c r="M1062" t="str">
        <x:v>feed_temperature_ramp</x:v>
      </x:c>
      <x:c r="N1062" t="str">
        <x:v>vib high</x:v>
      </x:c>
      <x:c r="O1062" t="str">
        <x:v>VIB</x:v>
      </x:c>
      <x:c r="P1062" t="str">
        <x:v>ALIGN</x:v>
      </x:c>
      <x:c r="Q1062" t="str">
        <x:v>N</x:v>
      </x:c>
      <x:c r="R1062" t="str">
        <x:v>16.8</x:v>
      </x:c>
      <x:c r="S1062" t="str">
        <x:v>3747.6</x:v>
      </x:c>
      <x:c r="T1062" t="str">
        <x:v>P-501B vib high chk &amp; revert</x:v>
      </x:c>
      <x:c r="U1062" t="str">
        <x:v>night called for P-501B reflux pump B, tray temp drift seen during feed temperature ramp. Foud vib high; coupling align or cavitation. calibrated, loop checked with CCR. no leak at handover. notif made by ops, maint attended same shift.</x:v>
      </x:c>
    </x:row>
    <x:row r="1063" ht="15" hidden="0" customHeight="1">
      <x:c r="A1063" t="str">
        <x:v>10451062</x:v>
      </x:c>
      <x:c r="B1063" t="str">
        <x:v>40871062</x:v>
      </x:c>
      <x:c r="C1063" t="str">
        <x:v>2025-08-28</x:v>
      </x:c>
      <x:c r="D1063" t="str">
        <x:v>2025-08-28</x:v>
      </x:c>
      <x:c r="E1063" t="str">
        <x:v>2025-08-28</x:v>
      </x:c>
      <x:c r="F1063" t="str">
        <x:v>U400-DEETHANIZER-500</x:v>
      </x:c>
      <x:c r="G1063" t="str">
        <x:v>FT-502</x:v>
      </x:c>
      <x:c r="H1063" t="str">
        <x:v>reflux flow transmitter</x:v>
      </x:c>
      <x:c r="I1063" t="str">
        <x:v>instrument</x:v>
      </x:c>
      <x:c r="J1063" t="str">
        <x:v>P2</x:v>
      </x:c>
      <x:c r="K1063" t="str">
        <x:v>CLSD</x:v>
      </x:c>
      <x:c r="L1063" t="str">
        <x:v>INST</x:v>
      </x:c>
      <x:c r="M1063" t="str">
        <x:v>reflux_pump_degradation</x:v>
      </x:c>
      <x:c r="N1063" t="str">
        <x:v>bad reading</x:v>
      </x:c>
      <x:c r="O1063" t="str">
        <x:v>DRIFT</x:v>
      </x:c>
      <x:c r="P1063" t="str">
        <x:v>CAL</x:v>
      </x:c>
      <x:c r="Q1063" t="str">
        <x:v>N</x:v>
      </x:c>
      <x:c r="R1063" t="str">
        <x:v>9.4</x:v>
      </x:c>
      <x:c r="S1063" t="str">
        <x:v>3769.6</x:v>
      </x:c>
      <x:c r="T1063" t="str">
        <x:v>FT-502 pump vib, bad reading</x:v>
      </x:c>
      <x:c r="U1063" t="str">
        <x:v>B shift called for FT-502 reflux flow transmitter, seal weep seen during reflux pump degradation. Foud bad reading; needs calib. reset trip and monitored for 2 hrs. still little hunting but acceptable. notif made by ops, maint attended same shift.</x:v>
      </x:c>
    </x:row>
    <x:row r="1064" ht="15" hidden="0" customHeight="1">
      <x:c r="A1064" t="str">
        <x:v>10451063</x:v>
      </x:c>
      <x:c r="B1064" t="str">
        <x:v>40871063</x:v>
      </x:c>
      <x:c r="C1064" t="str">
        <x:v>2025-08-31</x:v>
      </x:c>
      <x:c r="D1064" t="str">
        <x:v>2025-09-01</x:v>
      </x:c>
      <x:c r="E1064" t="str">
        <x:v>2025-09-01</x:v>
      </x:c>
      <x:c r="F1064" t="str">
        <x:v>U400-DEETHANIZER-500</x:v>
      </x:c>
      <x:c r="G1064" t="str">
        <x:v>E-503</x:v>
      </x:c>
      <x:c r="H1064" t="str">
        <x:v>feed bottoms exchanger</x:v>
      </x:c>
      <x:c r="I1064" t="str">
        <x:v>exchanger</x:v>
      </x:c>
      <x:c r="J1064" t="str">
        <x:v>P4</x:v>
      </x:c>
      <x:c r="K1064" t="str">
        <x:v>TECO</x:v>
      </x:c>
      <x:c r="L1064" t="str">
        <x:v>OPS+INST</x:v>
      </x:c>
      <x:c r="M1064" t="str">
        <x:v>feed_flow_step</x:v>
      </x:c>
      <x:c r="N1064" t="str">
        <x:v>temp approach bad</x:v>
      </x:c>
      <x:c r="O1064" t="str">
        <x:v>PERF</x:v>
      </x:c>
      <x:c r="P1064" t="str">
        <x:v>FOUL</x:v>
      </x:c>
      <x:c r="Q1064" t="str">
        <x:v>N</x:v>
      </x:c>
      <x:c r="R1064" t="str">
        <x:v>16.6</x:v>
      </x:c>
      <x:c r="S1064" t="str">
        <x:v>12427.05</x:v>
      </x:c>
      <x:c r="T1064" t="str">
        <x:v>E-503 temp approach bad again, prod upset</x:v>
      </x:c>
      <x:c r="U1064" t="str">
        <x:v>night called for E-503 feed bottoms exchanger, feed jump seen during feed flow step. Foud temp approach bad; heat transfer loss. opened strainer, cleaned black sludge. no leak at handover. notif made by ops, maint attended same shift.</x:v>
      </x:c>
    </x:row>
    <x:row r="1065" ht="15" hidden="0" customHeight="1">
      <x:c r="A1065" t="str">
        <x:v>10451064</x:v>
      </x:c>
      <x:c r="B1065" t="str">
        <x:v>40871064</x:v>
      </x:c>
      <x:c r="C1065" t="str">
        <x:v>2025-09-04</x:v>
      </x:c>
      <x:c r="D1065" t="str">
        <x:v>2025-09-05</x:v>
      </x:c>
      <x:c r="E1065" t="str">
        <x:v>2025-09-07</x:v>
      </x:c>
      <x:c r="F1065" t="str">
        <x:v>U400-DEETHANIZER-500</x:v>
      </x:c>
      <x:c r="G1065" t="str">
        <x:v>E-501</x:v>
      </x:c>
      <x:c r="H1065" t="str">
        <x:v>deethanizer reboiler</x:v>
      </x:c>
      <x:c r="I1065" t="str">
        <x:v>reboiler</x:v>
      </x:c>
      <x:c r="J1065" t="str">
        <x:v>P3</x:v>
      </x:c>
      <x:c r="K1065" t="str">
        <x:v>COMP</x:v>
      </x:c>
      <x:c r="L1065" t="str">
        <x:v>OPS+MECH</x:v>
      </x:c>
      <x:c r="M1065" t="str">
        <x:v>reboiler_duty_loss</x:v>
      </x:c>
      <x:c r="N1065" t="str">
        <x:v>fouled bundle</x:v>
      </x:c>
      <x:c r="O1065" t="str">
        <x:v>FOULING</x:v>
      </x:c>
      <x:c r="P1065" t="str">
        <x:v>PROCESS</x:v>
      </x:c>
      <x:c r="Q1065" t="str">
        <x:v>N</x:v>
      </x:c>
      <x:c r="R1065" t="str">
        <x:v>2.6</x:v>
      </x:c>
      <x:c r="S1065" t="str">
        <x:v>12409.09</x:v>
      </x:c>
      <x:c r="T1065" t="str">
        <x:v>E-501 c2 in btm, fouled bundle</x:v>
      </x:c>
      <x:c r="U1065" t="str">
        <x:v>C shift called for E-501 deethanizer reboiler, c2 in btm seen during reboiler duty loss. Foud fouled bundle; bottoms side dirty. tightened fittings, leak test ok. still little hunting but acceptable. notif made by ops, maint attended same shift.</x:v>
      </x:c>
    </x:row>
    <x:row r="1066" ht="15" hidden="0" customHeight="1">
      <x:c r="A1066" t="str">
        <x:v>10451065</x:v>
      </x:c>
      <x:c r="B1066" t="str">
        <x:v>40871065</x:v>
      </x:c>
      <x:c r="C1066" t="str">
        <x:v>2025-09-06</x:v>
      </x:c>
      <x:c r="D1066" t="str">
        <x:v>2025-09-06</x:v>
      </x:c>
      <x:c r="E1066" t="str">
        <x:v>2025-09-07</x:v>
      </x:c>
      <x:c r="F1066" t="str">
        <x:v>U400-DEETHANIZER-500</x:v>
      </x:c>
      <x:c r="G1066" t="str">
        <x:v>LT-502</x:v>
      </x:c>
      <x:c r="H1066" t="str">
        <x:v>column bottom level tx</x:v>
      </x:c>
      <x:c r="I1066" t="str">
        <x:v>instrument</x:v>
      </x:c>
      <x:c r="J1066" t="str">
        <x:v>P3</x:v>
      </x:c>
      <x:c r="K1066" t="str">
        <x:v>COMP</x:v>
      </x:c>
      <x:c r="L1066" t="str">
        <x:v>E&amp;I</x:v>
      </x:c>
      <x:c r="M1066" t="str">
        <x:v>normal_wear</x:v>
      </x:c>
      <x:c r="N1066" t="str">
        <x:v>loose wire</x:v>
      </x:c>
      <x:c r="O1066" t="str">
        <x:v>SIGNAL</x:v>
      </x:c>
      <x:c r="P1066" t="str">
        <x:v>ELEC</x:v>
      </x:c>
      <x:c r="Q1066" t="str">
        <x:v>N</x:v>
      </x:c>
      <x:c r="R1066" t="str">
        <x:v>13.3</x:v>
      </x:c>
      <x:c r="S1066" t="str">
        <x:v>22.63</x:v>
      </x:c>
      <x:c r="T1066" t="str">
        <x:v>LT-502 loose wire after upset</x:v>
      </x:c>
      <x:c r="U1066" t="str">
        <x:v>B shift called for LT-502 column bottom level tx, bad reading seen during normal wear. Foud loose wire; term loose. stroke tested, response better. still little hunting but acceptable. notif made by ops, maint attended same shift.</x:v>
      </x:c>
    </x:row>
    <x:row r="1067" ht="15" hidden="0" customHeight="1">
      <x:c r="A1067" t="str">
        <x:v>10451066</x:v>
      </x:c>
      <x:c r="B1067" t="str">
        <x:v>40871066</x:v>
      </x:c>
      <x:c r="C1067" t="str">
        <x:v>2025-09-07</x:v>
      </x:c>
      <x:c r="D1067" t="str">
        <x:v>2025-09-08</x:v>
      </x:c>
      <x:c r="E1067" t="str">
        <x:v>2025-09-08</x:v>
      </x:c>
      <x:c r="F1067" t="str">
        <x:v>U400-DEETHANIZER-500</x:v>
      </x:c>
      <x:c r="G1067" t="str">
        <x:v>P-501B</x:v>
      </x:c>
      <x:c r="H1067" t="str">
        <x:v>reflux pump B</x:v>
      </x:c>
      <x:c r="I1067" t="str">
        <x:v>pump</x:v>
      </x:c>
      <x:c r="J1067" t="str">
        <x:v>P4</x:v>
      </x:c>
      <x:c r="K1067" t="str">
        <x:v>CLSD</x:v>
      </x:c>
      <x:c r="L1067" t="str">
        <x:v>OPS+MECH</x:v>
      </x:c>
      <x:c r="M1067" t="str">
        <x:v>reflux_pump_degradation</x:v>
      </x:c>
      <x:c r="N1067" t="str">
        <x:v>seal leak</x:v>
      </x:c>
      <x:c r="O1067" t="str">
        <x:v>MECH_SEAL</x:v>
      </x:c>
      <x:c r="P1067" t="str">
        <x:v>SEAL</x:v>
      </x:c>
      <x:c r="Q1067" t="str">
        <x:v>N</x:v>
      </x:c>
      <x:c r="R1067" t="str">
        <x:v>14.2</x:v>
      </x:c>
      <x:c r="S1067" t="str">
        <x:v>13640.76</x:v>
      </x:c>
      <x:c r="T1067" t="str">
        <x:v>P-501B seal leak asap</x:v>
      </x:c>
      <x:c r="U1067" t="str">
        <x:v>C shift called for P-501B reflux pump B, seal weep seen during reflux pump degradation. Foud seal leak; seal face worn / dry run signs. opened strainer, cleaned black sludge. need watch next feed swing. notif made by ops, maint attended same shift.</x:v>
      </x:c>
    </x:row>
    <x:row r="1068" ht="15" hidden="0" customHeight="1">
      <x:c r="A1068" t="str">
        <x:v>10451067</x:v>
      </x:c>
      <x:c r="B1068" t="str">
        <x:v>40871067</x:v>
      </x:c>
      <x:c r="C1068" t="str">
        <x:v>2025-09-09</x:v>
      </x:c>
      <x:c r="D1068" t="str">
        <x:v>2025-09-11</x:v>
      </x:c>
      <x:c r="E1068" t="str">
        <x:v>2025-09-11</x:v>
      </x:c>
      <x:c r="F1068" t="str">
        <x:v>U400-DEETHANIZER-500</x:v>
      </x:c>
      <x:c r="G1068" t="str">
        <x:v>LV-502</x:v>
      </x:c>
      <x:c r="H1068" t="str">
        <x:v>bottoms level valve</x:v>
      </x:c>
      <x:c r="I1068" t="str">
        <x:v>control_valve</x:v>
      </x:c>
      <x:c r="J1068" t="str">
        <x:v>P3</x:v>
      </x:c>
      <x:c r="K1068" t="str">
        <x:v>TECO</x:v>
      </x:c>
      <x:c r="L1068" t="str">
        <x:v>INST</x:v>
      </x:c>
      <x:c r="M1068" t="str">
        <x:v>valve_stiction</x:v>
      </x:c>
      <x:c r="N1068" t="str">
        <x:v>air leak</x:v>
      </x:c>
      <x:c r="O1068" t="str">
        <x:v>AIR_LEAK</x:v>
      </x:c>
      <x:c r="P1068" t="str">
        <x:v>TUBING</x:v>
      </x:c>
      <x:c r="Q1068" t="str">
        <x:v>N</x:v>
      </x:c>
      <x:c r="R1068" t="str">
        <x:v>15.8</x:v>
      </x:c>
      <x:c r="S1068" t="str">
        <x:v>340.06</x:v>
      </x:c>
      <x:c r="T1068" t="str">
        <x:v>LV-502 vavle sticking, air leak</x:v>
      </x:c>
      <x:c r="U1068" t="str">
        <x:v>A shift called for LV-502 bottoms level valve, op jumps seen during valve stiction. Foud air leak; positioner supply drop. flushed impulse/sample line. ops says ok for now. notif made by ops, maint attended same shift.</x:v>
      </x:c>
    </x:row>
    <x:row r="1069" ht="15" hidden="0" customHeight="1">
      <x:c r="A1069" t="str">
        <x:v>10451068</x:v>
      </x:c>
      <x:c r="B1069" t="str">
        <x:v>40871068</x:v>
      </x:c>
      <x:c r="C1069" t="str">
        <x:v>2025-09-08</x:v>
      </x:c>
      <x:c r="D1069" t="str">
        <x:v>2025-09-08</x:v>
      </x:c>
      <x:c r="E1069" t="str">
        <x:v>2025-09-11</x:v>
      </x:c>
      <x:c r="F1069" t="str">
        <x:v>U400-DEETHANIZER-500</x:v>
      </x:c>
      <x:c r="G1069" t="str">
        <x:v>PSV-501B</x:v>
      </x:c>
      <x:c r="H1069" t="str">
        <x:v>column relief valve B</x:v>
      </x:c>
      <x:c r="I1069" t="str">
        <x:v>relief</x:v>
      </x:c>
      <x:c r="J1069" t="str">
        <x:v>P3</x:v>
      </x:c>
      <x:c r="K1069" t="str">
        <x:v>CLSD</x:v>
      </x:c>
      <x:c r="L1069" t="str">
        <x:v>VALVE</x:v>
      </x:c>
      <x:c r="M1069" t="str">
        <x:v>pressure_control_fault</x:v>
      </x:c>
      <x:c r="N1069" t="str">
        <x:v>seat passing</x:v>
      </x:c>
      <x:c r="O1069" t="str">
        <x:v>LEAK_BY</x:v>
      </x:c>
      <x:c r="P1069" t="str">
        <x:v>SEAT</x:v>
      </x:c>
      <x:c r="Q1069" t="str">
        <x:v>N</x:v>
      </x:c>
      <x:c r="R1069" t="str">
        <x:v>7.3</x:v>
      </x:c>
      <x:c r="S1069" t="str">
        <x:v>2472.16</x:v>
      </x:c>
      <x:c r="T1069" t="str">
        <x:v>PSV-501B seat passing bad</x:v>
      </x:c>
      <x:c r="U1069" t="str">
        <x:v>night called for PSV-501B column relief valve B, press spike seen during pressure control fault. Foud seat passing; tail pipe warm. stroke tested, response better. unit stable now. notif made by ops, maint attended same shift.</x:v>
      </x:c>
    </x:row>
    <x:row r="1070" ht="15" hidden="0" customHeight="1">
      <x:c r="A1070" t="str">
        <x:v>10451069</x:v>
      </x:c>
      <x:c r="B1070" t="str">
        <x:v>40871069</x:v>
      </x:c>
      <x:c r="C1070" t="str">
        <x:v>2025-09-12</x:v>
      </x:c>
      <x:c r="D1070" t="str">
        <x:v>2025-09-13</x:v>
      </x:c>
      <x:c r="E1070" t="str">
        <x:v>2025-09-15</x:v>
      </x:c>
      <x:c r="F1070" t="str">
        <x:v>U400-DEETHANIZER-500</x:v>
      </x:c>
      <x:c r="G1070" t="str">
        <x:v>TT-503</x:v>
      </x:c>
      <x:c r="H1070" t="str">
        <x:v>reboiler outlet temperature tx</x:v>
      </x:c>
      <x:c r="I1070" t="str">
        <x:v>instrument</x:v>
      </x:c>
      <x:c r="J1070" t="str">
        <x:v>P3</x:v>
      </x:c>
      <x:c r="K1070" t="str">
        <x:v>CLSD</x:v>
      </x:c>
      <x:c r="L1070" t="str">
        <x:v>E&amp;I</x:v>
      </x:c>
      <x:c r="M1070" t="str">
        <x:v>feed_composition_shift</x:v>
      </x:c>
      <x:c r="N1070" t="str">
        <x:v>bad reading</x:v>
      </x:c>
      <x:c r="O1070" t="str">
        <x:v>DRIFT</x:v>
      </x:c>
      <x:c r="P1070" t="str">
        <x:v>CAL</x:v>
      </x:c>
      <x:c r="Q1070" t="str">
        <x:v>N</x:v>
      </x:c>
      <x:c r="R1070" t="str">
        <x:v>5.4</x:v>
      </x:c>
      <x:c r="S1070" t="str">
        <x:v>4037.19</x:v>
      </x:c>
      <x:c r="T1070" t="str">
        <x:v>TT-503 bad reading temp fix</x:v>
      </x:c>
      <x:c r="U1070" t="str">
        <x:v>days called for TT-503 reboiler outlet temperature tx, quality bad seen during feed composition shift. Foud bad reading; needs calib. opened strainer, cleaned black sludge. need watch next feed swing. notif made by ops, maint attended same shift.</x:v>
      </x:c>
    </x:row>
    <x:row r="1071" ht="15" hidden="0" customHeight="1">
      <x:c r="A1071" t="str">
        <x:v>10451070</x:v>
      </x:c>
      <x:c r="B1071" t="str">
        <x:v>40871070</x:v>
      </x:c>
      <x:c r="C1071" t="str">
        <x:v>2025-09-08</x:v>
      </x:c>
      <x:c r="D1071" t="str">
        <x:v>2025-09-08</x:v>
      </x:c>
      <x:c r="E1071" t="str">
        <x:v>2025-09-10</x:v>
      </x:c>
      <x:c r="F1071" t="str">
        <x:v>U400-DEETHANIZER-500</x:v>
      </x:c>
      <x:c r="G1071" t="str">
        <x:v>TV-502</x:v>
      </x:c>
      <x:c r="H1071" t="str">
        <x:v>condenser cooling valve</x:v>
      </x:c>
      <x:c r="I1071" t="str">
        <x:v>control_valve</x:v>
      </x:c>
      <x:c r="J1071" t="str">
        <x:v>P2</x:v>
      </x:c>
      <x:c r="K1071" t="str">
        <x:v>TECO</x:v>
      </x:c>
      <x:c r="L1071" t="str">
        <x:v>OPS+INST</x:v>
      </x:c>
      <x:c r="M1071" t="str">
        <x:v>condenser_fouling</x:v>
      </x:c>
      <x:c r="N1071" t="str">
        <x:v>stiction</x:v>
      </x:c>
      <x:c r="O1071" t="str">
        <x:v>STICK</x:v>
      </x:c>
      <x:c r="P1071" t="str">
        <x:v>PACKING</x:v>
      </x:c>
      <x:c r="Q1071" t="str">
        <x:v>N</x:v>
      </x:c>
      <x:c r="R1071" t="str">
        <x:v>10.5</x:v>
      </x:c>
      <x:c r="S1071" t="str">
        <x:v>577.97</x:v>
      </x:c>
      <x:c r="T1071" t="str">
        <x:v>TV-502 cond not pullng, stiction</x:v>
      </x:c>
      <x:c r="U1071" t="str">
        <x:v>night called for TV-502 condenser cooling valve, high ovhd press seen during condenser fouling. Foud stiction; stem sticky and pos err. stroke tested, response better. ops says ok for now. notif made by ops, maint attended same shift.</x:v>
      </x:c>
    </x:row>
    <x:row r="1072" ht="15" hidden="0" customHeight="1">
      <x:c r="A1072" t="str">
        <x:v>10451071</x:v>
      </x:c>
      <x:c r="B1072" t="str">
        <x:v>40871071</x:v>
      </x:c>
      <x:c r="C1072" t="str">
        <x:v>2025-09-14</x:v>
      </x:c>
      <x:c r="D1072" t="str">
        <x:v>2025-09-15</x:v>
      </x:c>
      <x:c r="E1072" t="str">
        <x:v>2025-09-18</x:v>
      </x:c>
      <x:c r="F1072" t="str">
        <x:v>U400-DEETHANIZER-500</x:v>
      </x:c>
      <x:c r="G1072" t="str">
        <x:v>LV-502</x:v>
      </x:c>
      <x:c r="H1072" t="str">
        <x:v>bottoms level valve</x:v>
      </x:c>
      <x:c r="I1072" t="str">
        <x:v>control_valve</x:v>
      </x:c>
      <x:c r="J1072" t="str">
        <x:v>P2</x:v>
      </x:c>
      <x:c r="K1072" t="str">
        <x:v>CLSD</x:v>
      </x:c>
      <x:c r="L1072" t="str">
        <x:v>VALVE</x:v>
      </x:c>
      <x:c r="M1072" t="str">
        <x:v>valve_stiction</x:v>
      </x:c>
      <x:c r="N1072" t="str">
        <x:v>air leak</x:v>
      </x:c>
      <x:c r="O1072" t="str">
        <x:v>AIR_LEAK</x:v>
      </x:c>
      <x:c r="P1072" t="str">
        <x:v>TUBING</x:v>
      </x:c>
      <x:c r="Q1072" t="str">
        <x:v>Y</x:v>
      </x:c>
      <x:c r="R1072" t="str">
        <x:v>17.1</x:v>
      </x:c>
      <x:c r="S1072" t="str">
        <x:v>5020.47</x:v>
      </x:c>
      <x:c r="T1072" t="str">
        <x:v>LV-502 not ok after valve stiction</x:v>
      </x:c>
      <x:c r="U1072" t="str">
        <x:v>C shift called for LV-502 bottoms level valve, valve sticking seen during valve stiction. Foud air leak; positioner supply drop. History shows same complain last mnth. cleaned and put back online. temp repair only, plan shutdown job. notif made by ops, maint attended same shift.</x:v>
      </x:c>
    </x:row>
    <x:row r="1073" ht="15" hidden="0" customHeight="1">
      <x:c r="A1073" t="str">
        <x:v>10451072</x:v>
      </x:c>
      <x:c r="B1073" t="str">
        <x:v>40871072</x:v>
      </x:c>
      <x:c r="C1073" t="str">
        <x:v>2025-09-11</x:v>
      </x:c>
      <x:c r="D1073" t="str">
        <x:v>2025-09-12</x:v>
      </x:c>
      <x:c r="E1073" t="str">
        <x:v>2025-09-13</x:v>
      </x:c>
      <x:c r="F1073" t="str">
        <x:v>U400-DEETHANIZER-500</x:v>
      </x:c>
      <x:c r="G1073" t="str">
        <x:v>FV-502</x:v>
      </x:c>
      <x:c r="H1073" t="str">
        <x:v>reflux flow control valve</x:v>
      </x:c>
      <x:c r="I1073" t="str">
        <x:v>control_valve</x:v>
      </x:c>
      <x:c r="J1073" t="str">
        <x:v>P3</x:v>
      </x:c>
      <x:c r="K1073" t="str">
        <x:v>COMP</x:v>
      </x:c>
      <x:c r="L1073" t="str">
        <x:v>MECH</x:v>
      </x:c>
      <x:c r="M1073" t="str">
        <x:v>reflux_pump_degradation</x:v>
      </x:c>
      <x:c r="N1073" t="str">
        <x:v>hunting loop</x:v>
      </x:c>
      <x:c r="O1073" t="str">
        <x:v>CTRL_OSC</x:v>
      </x:c>
      <x:c r="P1073" t="str">
        <x:v>TUNE</x:v>
      </x:c>
      <x:c r="Q1073" t="str">
        <x:v>N</x:v>
      </x:c>
      <x:c r="R1073" t="str">
        <x:v>7.7</x:v>
      </x:c>
      <x:c r="S1073" t="str">
        <x:v>6224.83</x:v>
      </x:c>
      <x:c r="T1073" t="str">
        <x:v>FV-502 hunting loop pls chk</x:v>
      </x:c>
      <x:c r="U1073" t="str">
        <x:v>C shift called for FV-502 reflux flow control valve, seal weep seen during reflux pump degradation. Foud hunting loop; bad response after upset. replaced positioner tubing and retuned small. still little hunting but acceptable. notif made by ops, maint attended same shift.</x:v>
      </x:c>
    </x:row>
    <x:row r="1074" ht="15" hidden="0" customHeight="1">
      <x:c r="A1074" t="str">
        <x:v>10451073</x:v>
      </x:c>
      <x:c r="B1074" t="str">
        <x:v>40871073</x:v>
      </x:c>
      <x:c r="C1074" t="str">
        <x:v>2025-09-15</x:v>
      </x:c>
      <x:c r="D1074" t="str">
        <x:v>2025-09-17</x:v>
      </x:c>
      <x:c r="E1074" t="str">
        <x:v>2025-09-17</x:v>
      </x:c>
      <x:c r="F1074" t="str">
        <x:v>U400-DEETHANIZER-500</x:v>
      </x:c>
      <x:c r="G1074" t="str">
        <x:v>TT-501B</x:v>
      </x:c>
      <x:c r="H1074" t="str">
        <x:v>sensitive tray temperature tx</x:v>
      </x:c>
      <x:c r="I1074" t="str">
        <x:v>instrument</x:v>
      </x:c>
      <x:c r="J1074" t="str">
        <x:v>P3</x:v>
      </x:c>
      <x:c r="K1074" t="str">
        <x:v>COMP</x:v>
      </x:c>
      <x:c r="L1074" t="str">
        <x:v>OPS+INST</x:v>
      </x:c>
      <x:c r="M1074" t="str">
        <x:v>reboiler_duty_loss</x:v>
      </x:c>
      <x:c r="N1074" t="str">
        <x:v>no signal</x:v>
      </x:c>
      <x:c r="O1074" t="str">
        <x:v>NO_SIGNAL</x:v>
      </x:c>
      <x:c r="P1074" t="str">
        <x:v>ELEC</x:v>
      </x:c>
      <x:c r="Q1074" t="str">
        <x:v>N</x:v>
      </x:c>
      <x:c r="R1074" t="str">
        <x:v>5.0</x:v>
      </x:c>
      <x:c r="S1074" t="str">
        <x:v>2495.02</x:v>
      </x:c>
      <x:c r="T1074" t="str">
        <x:v>TT-501B not ok after reboiler duty loss</x:v>
      </x:c>
      <x:c r="U1074" t="str">
        <x:v>night called for TT-501B sensitive tray temperature tx, rb circ cold seen during reboiler duty loss. Foud no signal; 24v or card issue. tightened fittings, leak test ok. unit stable now. notif made by ops, maint attended same shift.</x:v>
      </x:c>
    </x:row>
    <x:row r="1075" ht="15" hidden="0" customHeight="1">
      <x:c r="A1075" t="str">
        <x:v>10451074</x:v>
      </x:c>
      <x:c r="B1075" t="str">
        <x:v>40871074</x:v>
      </x:c>
      <x:c r="C1075" t="str">
        <x:v>2025-09-16</x:v>
      </x:c>
      <x:c r="D1075" t="str">
        <x:v>2025-09-17</x:v>
      </x:c>
      <x:c r="E1075" t="str">
        <x:v>2025-09-19</x:v>
      </x:c>
      <x:c r="F1075" t="str">
        <x:v>U400-DEETHANIZER-500</x:v>
      </x:c>
      <x:c r="G1075" t="str">
        <x:v>P-501A</x:v>
      </x:c>
      <x:c r="H1075" t="str">
        <x:v>reflux pump A</x:v>
      </x:c>
      <x:c r="I1075" t="str">
        <x:v>pump</x:v>
      </x:c>
      <x:c r="J1075" t="str">
        <x:v>P3</x:v>
      </x:c>
      <x:c r="K1075" t="str">
        <x:v>TECO</x:v>
      </x:c>
      <x:c r="L1075" t="str">
        <x:v>MECH</x:v>
      </x:c>
      <x:c r="M1075" t="str">
        <x:v>reflux_pump_degradation</x:v>
      </x:c>
      <x:c r="N1075" t="str">
        <x:v>motor trip</x:v>
      </x:c>
      <x:c r="O1075" t="str">
        <x:v>MOTOR</x:v>
      </x:c>
      <x:c r="P1075" t="str">
        <x:v>ELEC</x:v>
      </x:c>
      <x:c r="Q1075" t="str">
        <x:v>N</x:v>
      </x:c>
      <x:c r="R1075" t="str">
        <x:v>12.5</x:v>
      </x:c>
      <x:c r="S1075" t="str">
        <x:v>8362.03</x:v>
      </x:c>
      <x:c r="T1075" t="str">
        <x:v>P-501A not ok after reflux pump degradation</x:v>
      </x:c>
      <x:c r="U1075" t="str">
        <x:v>B shift called for P-501A reflux pump A, min flow hot seen during reflux pump degradation. Foud motor trip; overload trip after upset. Could not get permit first time waiting area gas test. cleaned and put back online. still little hunting but acceptable. notif made by ops, maint attended same shift.</x:v>
      </x:c>
    </x:row>
    <x:row r="1076" ht="15" hidden="0" customHeight="1">
      <x:c r="A1076" t="str">
        <x:v>10451075</x:v>
      </x:c>
      <x:c r="B1076" t="str">
        <x:v>40871075</x:v>
      </x:c>
      <x:c r="C1076" t="str">
        <x:v>2025-09-17</x:v>
      </x:c>
      <x:c r="D1076" t="str">
        <x:v>2025-09-17</x:v>
      </x:c>
      <x:c r="E1076" t="str">
        <x:v>2025-09-17</x:v>
      </x:c>
      <x:c r="F1076" t="str">
        <x:v>U400-DEETHANIZER-500</x:v>
      </x:c>
      <x:c r="G1076" t="str">
        <x:v>E-501</x:v>
      </x:c>
      <x:c r="H1076" t="str">
        <x:v>deethanizer reboiler</x:v>
      </x:c>
      <x:c r="I1076" t="str">
        <x:v>reboiler</x:v>
      </x:c>
      <x:c r="J1076" t="str">
        <x:v>P2</x:v>
      </x:c>
      <x:c r="K1076" t="str">
        <x:v>TECO</x:v>
      </x:c>
      <x:c r="L1076" t="str">
        <x:v>ANLYZR</x:v>
      </x:c>
      <x:c r="M1076" t="str">
        <x:v>valve_stiction</x:v>
      </x:c>
      <x:c r="N1076" t="str">
        <x:v>low duty</x:v>
      </x:c>
      <x:c r="O1076" t="str">
        <x:v>DUTY_LOSS</x:v>
      </x:c>
      <x:c r="P1076" t="str">
        <x:v>UTILITY</x:v>
      </x:c>
      <x:c r="Q1076" t="str">
        <x:v>Y</x:v>
      </x:c>
      <x:c r="R1076" t="str">
        <x:v>16.6</x:v>
      </x:c>
      <x:c r="S1076" t="str">
        <x:v>11222.92</x:v>
      </x:c>
      <x:c r="T1076" t="str">
        <x:v>E-501 not ok after valve stiction</x:v>
      </x:c>
      <x:c r="U1076" t="str">
        <x:v>night called for E-501 deethanizer reboiler, valve sticking seen during valve stiction. Foud low duty; hm valve/strainer issue. swapped to standby and repaired. still little hunting but acceptable. notif made by ops, maint attended same shift.</x:v>
      </x:c>
    </x:row>
    <x:row r="1077" ht="15" hidden="0" customHeight="1">
      <x:c r="A1077" t="str">
        <x:v>10451076</x:v>
      </x:c>
      <x:c r="B1077" t="str">
        <x:v>40871076</x:v>
      </x:c>
      <x:c r="C1077" t="str">
        <x:v>2025-09-18</x:v>
      </x:c>
      <x:c r="D1077" t="str">
        <x:v>2025-09-19</x:v>
      </x:c>
      <x:c r="E1077" t="str">
        <x:v>2025-09-20</x:v>
      </x:c>
      <x:c r="F1077" t="str">
        <x:v>U400-DEETHANIZER-500</x:v>
      </x:c>
      <x:c r="G1077" t="str">
        <x:v>TT-501B</x:v>
      </x:c>
      <x:c r="H1077" t="str">
        <x:v>sensitive tray temperature tx</x:v>
      </x:c>
      <x:c r="I1077" t="str">
        <x:v>instrument</x:v>
      </x:c>
      <x:c r="J1077" t="str">
        <x:v>P2</x:v>
      </x:c>
      <x:c r="K1077" t="str">
        <x:v>TECO</x:v>
      </x:c>
      <x:c r="L1077" t="str">
        <x:v>ANLYZR</x:v>
      </x:c>
      <x:c r="M1077" t="str">
        <x:v>reboiler_duty_loss</x:v>
      </x:c>
      <x:c r="N1077" t="str">
        <x:v>range err</x:v>
      </x:c>
      <x:c r="O1077" t="str">
        <x:v>SPAN</x:v>
      </x:c>
      <x:c r="P1077" t="str">
        <x:v>CAL</x:v>
      </x:c>
      <x:c r="Q1077" t="str">
        <x:v>N</x:v>
      </x:c>
      <x:c r="R1077" t="str">
        <x:v>14.8</x:v>
      </x:c>
      <x:c r="S1077" t="str">
        <x:v>4231.46</x:v>
      </x:c>
      <x:c r="T1077" t="str">
        <x:v>TT-501B rb circ cold, range err</x:v>
      </x:c>
      <x:c r="U1077" t="str">
        <x:v>B shift called for TT-501B sensitive tray temp tx, tray temp low seen during reboiler duty loss. Foud range err; span shifted. calibrated, loop checked with CCR. no leak at handover. notif made by ops, maint attended same shift.</x:v>
      </x:c>
    </x:row>
    <x:row r="1078" ht="15" hidden="0" customHeight="1">
      <x:c r="A1078" t="str">
        <x:v>10451077</x:v>
      </x:c>
      <x:c r="B1078" t="str">
        <x:v>40871077</x:v>
      </x:c>
      <x:c r="C1078" t="str">
        <x:v>2025-09-19</x:v>
      </x:c>
      <x:c r="D1078" t="str">
        <x:v>2025-09-19</x:v>
      </x:c>
      <x:c r="E1078" t="str">
        <x:v>2025-09-22</x:v>
      </x:c>
      <x:c r="F1078" t="str">
        <x:v>U400-DEETHANIZER-500</x:v>
      </x:c>
      <x:c r="G1078" t="str">
        <x:v>PSV-501A</x:v>
      </x:c>
      <x:c r="H1078" t="str">
        <x:v>column relief valve A</x:v>
      </x:c>
      <x:c r="I1078" t="str">
        <x:v>relief</x:v>
      </x:c>
      <x:c r="J1078" t="str">
        <x:v>P3</x:v>
      </x:c>
      <x:c r="K1078" t="str">
        <x:v>CLSD</x:v>
      </x:c>
      <x:c r="L1078" t="str">
        <x:v>ANLYZR</x:v>
      </x:c>
      <x:c r="M1078" t="str">
        <x:v>reflux_pump_degradation</x:v>
      </x:c>
      <x:c r="N1078" t="str">
        <x:v>car seal broken</x:v>
      </x:c>
      <x:c r="O1078" t="str">
        <x:v>CSO</x:v>
      </x:c>
      <x:c r="P1078" t="str">
        <x:v>HUMAN</x:v>
      </x:c>
      <x:c r="Q1078" t="str">
        <x:v>N</x:v>
      </x:c>
      <x:c r="R1078" t="str">
        <x:v>2.5</x:v>
      </x:c>
      <x:c r="S1078" t="str">
        <x:v>3058.36</x:v>
      </x:c>
      <x:c r="T1078" t="str">
        <x:v>PSV-501A not ok after reflux pump degradation</x:v>
      </x:c>
      <x:c r="U1078" t="str">
        <x:v>days called for PSV-501A column relief valve A, disch press low seen during reflux pump degradation. Foud car seal broken; seal missing found. Tag plate dirty, confirmd by line up with panel. tightened fittings, leak test ok. need watch next feed swing. notif made by ops, maint attended same shift.</x:v>
      </x:c>
    </x:row>
    <x:row r="1079" ht="15" hidden="0" customHeight="1">
      <x:c r="A1079" t="str">
        <x:v>10451078</x:v>
      </x:c>
      <x:c r="B1079" t="str">
        <x:v>40871078</x:v>
      </x:c>
      <x:c r="C1079" t="str">
        <x:v>2025-09-24</x:v>
      </x:c>
      <x:c r="D1079" t="str">
        <x:v>2025-09-24</x:v>
      </x:c>
      <x:c r="E1079" t="str">
        <x:v>2025-09-25</x:v>
      </x:c>
      <x:c r="F1079" t="str">
        <x:v>U400-DEETHANIZER-500</x:v>
      </x:c>
      <x:c r="G1079" t="str">
        <x:v>T-501</x:v>
      </x:c>
      <x:c r="H1079" t="str">
        <x:v>deethanizer column</x:v>
      </x:c>
      <x:c r="I1079" t="str">
        <x:v>column</x:v>
      </x:c>
      <x:c r="J1079" t="str">
        <x:v>P3</x:v>
      </x:c>
      <x:c r="K1079" t="str">
        <x:v>TECO</x:v>
      </x:c>
      <x:c r="L1079" t="str">
        <x:v>OPS+MECH</x:v>
      </x:c>
      <x:c r="M1079" t="str">
        <x:v>feed_composition_shift</x:v>
      </x:c>
      <x:c r="N1079" t="str">
        <x:v>tray temp bad</x:v>
      </x:c>
      <x:c r="O1079" t="str">
        <x:v>TEMP_DEV</x:v>
      </x:c>
      <x:c r="P1079" t="str">
        <x:v>PROCESS</x:v>
      </x:c>
      <x:c r="Q1079" t="str">
        <x:v>N</x:v>
      </x:c>
      <x:c r="R1079" t="str">
        <x:v>6.3</x:v>
      </x:c>
      <x:c r="S1079" t="str">
        <x:v>5664.03</x:v>
      </x:c>
      <x:c r="T1079" t="str">
        <x:v>T-501 tray temp bad noisy</x:v>
      </x:c>
      <x:c r="U1079" t="str">
        <x:v>C shift called for T-501 deethanizer column, ovhd c3 slip seen during feed composition shift. Foud tray temp bad; profile not normal. History shows same complain last mnth. calibrated, loop chekd with CCR. ops says ok for now. notif made by ops, maint attended same shift.</x:v>
      </x:c>
    </x:row>
    <x:row r="1080" ht="15" hidden="0" customHeight="1">
      <x:c r="A1080" t="str">
        <x:v>10451079</x:v>
      </x:c>
      <x:c r="B1080" t="str">
        <x:v>40871079</x:v>
      </x:c>
      <x:c r="C1080" t="str">
        <x:v>2025-09-22</x:v>
      </x:c>
      <x:c r="D1080" t="str">
        <x:v>2025-09-22</x:v>
      </x:c>
      <x:c r="E1080" t="str">
        <x:v>2025-09-24</x:v>
      </x:c>
      <x:c r="F1080" t="str">
        <x:v>U400-DEETHANIZER-500</x:v>
      </x:c>
      <x:c r="G1080" t="str">
        <x:v>E-502</x:v>
      </x:c>
      <x:c r="H1080" t="str">
        <x:v>deethanizer overhead condenser</x:v>
      </x:c>
      <x:c r="I1080" t="str">
        <x:v>condenser</x:v>
      </x:c>
      <x:c r="J1080" t="str">
        <x:v>P2</x:v>
      </x:c>
      <x:c r="K1080" t="str">
        <x:v>CLSD</x:v>
      </x:c>
      <x:c r="L1080" t="str">
        <x:v>INST</x:v>
      </x:c>
      <x:c r="M1080" t="str">
        <x:v>condenser_fouling</x:v>
      </x:c>
      <x:c r="N1080" t="str">
        <x:v>high press</x:v>
      </x:c>
      <x:c r="O1080" t="str">
        <x:v>PERF</x:v>
      </x:c>
      <x:c r="P1080" t="str">
        <x:v>FOUL</x:v>
      </x:c>
      <x:c r="Q1080" t="str">
        <x:v>N</x:v>
      </x:c>
      <x:c r="R1080" t="str">
        <x:v>1.9</x:v>
      </x:c>
      <x:c r="S1080" t="str">
        <x:v>16171.96</x:v>
      </x:c>
      <x:c r="T1080" t="str">
        <x:v>E-502 cond not pullng, high press</x:v>
      </x:c>
      <x:c r="U1080" t="str">
        <x:v>night called for E-502 deethanizer overhead condenser, cond not pullng seen during condenser fouling. Foud high press; condensing duty poor. No spare in store at first, used refurb one from shop. calibrated, loop chekd with CCR. still little hunting but acceptable. notif made by ops, maint attended same shift.</x:v>
      </x:c>
    </x:row>
    <x:row r="1081" ht="15" hidden="0" customHeight="1">
      <x:c r="A1081" t="str">
        <x:v>10451080</x:v>
      </x:c>
      <x:c r="B1081" t="str">
        <x:v>40871080</x:v>
      </x:c>
      <x:c r="C1081" t="str">
        <x:v>2025-09-24</x:v>
      </x:c>
      <x:c r="D1081" t="str">
        <x:v>2025-09-26</x:v>
      </x:c>
      <x:c r="E1081" t="str">
        <x:v>2025-09-29</x:v>
      </x:c>
      <x:c r="F1081" t="str">
        <x:v>U400-DEETHANIZER-500</x:v>
      </x:c>
      <x:c r="G1081" t="str">
        <x:v>TV-501</x:v>
      </x:c>
      <x:c r="H1081" t="str">
        <x:v>reboiler hot medium valve</x:v>
      </x:c>
      <x:c r="I1081" t="str">
        <x:v>control_valve</x:v>
      </x:c>
      <x:c r="J1081" t="str">
        <x:v>P3</x:v>
      </x:c>
      <x:c r="K1081" t="str">
        <x:v>CLSD</x:v>
      </x:c>
      <x:c r="L1081" t="str">
        <x:v>VALVE</x:v>
      </x:c>
      <x:c r="M1081" t="str">
        <x:v>feed_flow_step</x:v>
      </x:c>
      <x:c r="N1081" t="str">
        <x:v>passing</x:v>
      </x:c>
      <x:c r="O1081" t="str">
        <x:v>LEAK_BY</x:v>
      </x:c>
      <x:c r="P1081" t="str">
        <x:v>SEAT</x:v>
      </x:c>
      <x:c r="Q1081" t="str">
        <x:v>N</x:v>
      </x:c>
      <x:c r="R1081" t="str">
        <x:v>17.3</x:v>
      </x:c>
      <x:c r="S1081" t="str">
        <x:v>4241.58</x:v>
      </x:c>
      <x:c r="T1081" t="str">
        <x:v>TV-501 passing again, prod upset</x:v>
      </x:c>
      <x:c r="U1081" t="str">
        <x:v>C shift called for TV-501 rebiler hot medium valve, column dp high seen during feed flow step. Foud passing; seat leak by. flushed impulse/sample line. no leak at handover. notif made by ops, maint attended same shift.</x:v>
      </x:c>
    </x:row>
    <x:row r="1082" ht="15" hidden="0" customHeight="1">
      <x:c r="A1082" t="str">
        <x:v>10451081</x:v>
      </x:c>
      <x:c r="B1082" t="str">
        <x:v>40871081</x:v>
      </x:c>
      <x:c r="C1082" t="str">
        <x:v>2025-09-25</x:v>
      </x:c>
      <x:c r="D1082" t="str">
        <x:v>2025-09-25</x:v>
      </x:c>
      <x:c r="E1082" t="str">
        <x:v>2025-09-25</x:v>
      </x:c>
      <x:c r="F1082" t="str">
        <x:v>U400-DEETHANIZER-500</x:v>
      </x:c>
      <x:c r="G1082" t="str">
        <x:v>TV-501</x:v>
      </x:c>
      <x:c r="H1082" t="str">
        <x:v>reboiler hot medium valve</x:v>
      </x:c>
      <x:c r="I1082" t="str">
        <x:v>control_valve</x:v>
      </x:c>
      <x:c r="J1082" t="str">
        <x:v>P2</x:v>
      </x:c>
      <x:c r="K1082" t="str">
        <x:v>COMP</x:v>
      </x:c>
      <x:c r="L1082" t="str">
        <x:v>MECH</x:v>
      </x:c>
      <x:c r="M1082" t="str">
        <x:v>reboiler_duty_loss</x:v>
      </x:c>
      <x:c r="N1082" t="str">
        <x:v>stiction</x:v>
      </x:c>
      <x:c r="O1082" t="str">
        <x:v>STICK</x:v>
      </x:c>
      <x:c r="P1082" t="str">
        <x:v>PACKING</x:v>
      </x:c>
      <x:c r="Q1082" t="str">
        <x:v>N</x:v>
      </x:c>
      <x:c r="R1082" t="str">
        <x:v>9.3</x:v>
      </x:c>
      <x:c r="S1082" t="str">
        <x:v>1915.25</x:v>
      </x:c>
      <x:c r="T1082" t="str">
        <x:v>TV-501 low heat, stiction</x:v>
      </x:c>
      <x:c r="U1082" t="str">
        <x:v>night called for TV-501 reboiler hot medium valve, steam/hm valve no resp seen during reboiler duty loss. Foud stiction; stem sticky and pos err. Tag plate dirty, confirmd by line up with panel. cleaned and put back online. no leak at handover. notif made by ops, maint attended same shift.</x:v>
      </x:c>
    </x:row>
    <x:row r="1083" ht="15" hidden="0" customHeight="1">
      <x:c r="A1083" t="str">
        <x:v>10451082</x:v>
      </x:c>
      <x:c r="B1083" t="str">
        <x:v>40871082</x:v>
      </x:c>
      <x:c r="C1083" t="str">
        <x:v>2025-09-30</x:v>
      </x:c>
      <x:c r="D1083" t="str">
        <x:v>2025-10-02</x:v>
      </x:c>
      <x:c r="E1083" t="str">
        <x:v>2025-10-03</x:v>
      </x:c>
      <x:c r="F1083" t="str">
        <x:v>U400-DEETHANIZER-500</x:v>
      </x:c>
      <x:c r="G1083" t="str">
        <x:v>V-501</x:v>
      </x:c>
      <x:c r="H1083" t="str">
        <x:v>deethanizer reflux drum</x:v>
      </x:c>
      <x:c r="I1083" t="str">
        <x:v>vessel</x:v>
      </x:c>
      <x:c r="J1083" t="str">
        <x:v>P3</x:v>
      </x:c>
      <x:c r="K1083" t="str">
        <x:v>COMP</x:v>
      </x:c>
      <x:c r="L1083" t="str">
        <x:v>OPS+MECH</x:v>
      </x:c>
      <x:c r="M1083" t="str">
        <x:v>feed_flow_step</x:v>
      </x:c>
      <x:c r="N1083" t="str">
        <x:v>boot drain leak</x:v>
      </x:c>
      <x:c r="O1083" t="str">
        <x:v>LEAK</x:v>
      </x:c>
      <x:c r="P1083" t="str">
        <x:v>VALVE</x:v>
      </x:c>
      <x:c r="Q1083" t="str">
        <x:v>N</x:v>
      </x:c>
      <x:c r="R1083" t="str">
        <x:v>2.5</x:v>
      </x:c>
      <x:c r="S1083" t="str">
        <x:v>3062.75</x:v>
      </x:c>
      <x:c r="T1083" t="str">
        <x:v>chk V-501 - boot drain leak frm ops</x:v>
      </x:c>
      <x:c r="U1083" t="str">
        <x:v>C shift called for V-501 deethanizer reflux drum, c2 recov down seen during feed flow step. Foud boot drain leak; closed drain valve passing. tightened fittings, leak test ok. no leak at handover. notif made by ops, maint attended same shift.</x:v>
      </x:c>
    </x:row>
    <x:row r="1084" ht="15" hidden="0" customHeight="1">
      <x:c r="A1084" t="str">
        <x:v>10451083</x:v>
      </x:c>
      <x:c r="B1084" t="str">
        <x:v>40871083</x:v>
      </x:c>
      <x:c r="C1084" t="str">
        <x:v>2025-09-28</x:v>
      </x:c>
      <x:c r="D1084" t="str">
        <x:v>2025-09-29</x:v>
      </x:c>
      <x:c r="E1084" t="str">
        <x:v>2025-10-02</x:v>
      </x:c>
      <x:c r="F1084" t="str">
        <x:v>U400-DEETHANIZER-500</x:v>
      </x:c>
      <x:c r="G1084" t="str">
        <x:v>PV-501</x:v>
      </x:c>
      <x:c r="H1084" t="str">
        <x:v>column pressure control valve</x:v>
      </x:c>
      <x:c r="I1084" t="str">
        <x:v>control_valve</x:v>
      </x:c>
      <x:c r="J1084" t="str">
        <x:v>P3</x:v>
      </x:c>
      <x:c r="K1084" t="str">
        <x:v>TECO</x:v>
      </x:c>
      <x:c r="L1084" t="str">
        <x:v>ROT</x:v>
      </x:c>
      <x:c r="M1084" t="str">
        <x:v>valve_stiction</x:v>
      </x:c>
      <x:c r="N1084" t="str">
        <x:v>not stroking</x:v>
      </x:c>
      <x:c r="O1084" t="str">
        <x:v>NO_TRAVEL</x:v>
      </x:c>
      <x:c r="P1084" t="str">
        <x:v>ACT</x:v>
      </x:c>
      <x:c r="Q1084" t="str">
        <x:v>N</x:v>
      </x:c>
      <x:c r="R1084" t="str">
        <x:v>16.4</x:v>
      </x:c>
      <x:c r="S1084" t="str">
        <x:v>6556.11</x:v>
      </x:c>
      <x:c r="T1084" t="str">
        <x:v>PV-501 not stroking after upset</x:v>
      </x:c>
      <x:c r="U1084" t="str">
        <x:v>A shift called for PV-501 column pressure ctrl vavle, loop cycling seen during vavle stiction. Foud not stroking; actuator weak. opened strainer, cleaned black sludge. ops says ok for now. notif made by ops, maint attended same shift.</x:v>
      </x:c>
    </x:row>
    <x:row r="1085" ht="15" hidden="0" customHeight="1">
      <x:c r="A1085" t="str">
        <x:v>10451084</x:v>
      </x:c>
      <x:c r="B1085" t="str">
        <x:v>40871084</x:v>
      </x:c>
      <x:c r="C1085" t="str">
        <x:v>2025-09-29</x:v>
      </x:c>
      <x:c r="D1085" t="str">
        <x:v>2025-09-30</x:v>
      </x:c>
      <x:c r="E1085" t="str">
        <x:v>2025-10-01</x:v>
      </x:c>
      <x:c r="F1085" t="str">
        <x:v>U400-DEETHANIZER-500</x:v>
      </x:c>
      <x:c r="G1085" t="str">
        <x:v>E-501</x:v>
      </x:c>
      <x:c r="H1085" t="str">
        <x:v>deethanizer reboiler</x:v>
      </x:c>
      <x:c r="I1085" t="str">
        <x:v>reboiler</x:v>
      </x:c>
      <x:c r="J1085" t="str">
        <x:v>P4</x:v>
      </x:c>
      <x:c r="K1085" t="str">
        <x:v>COMP</x:v>
      </x:c>
      <x:c r="L1085" t="str">
        <x:v>ROT</x:v>
      </x:c>
      <x:c r="M1085" t="str">
        <x:v>reboiler_duty_loss</x:v>
      </x:c>
      <x:c r="N1085" t="str">
        <x:v>rb leak</x:v>
      </x:c>
      <x:c r="O1085" t="str">
        <x:v>LEAK</x:v>
      </x:c>
      <x:c r="P1085" t="str">
        <x:v>GASKET</x:v>
      </x:c>
      <x:c r="Q1085" t="str">
        <x:v>N</x:v>
      </x:c>
      <x:c r="R1085" t="str">
        <x:v>8.1</x:v>
      </x:c>
      <x:c r="S1085" t="str">
        <x:v>4599.56</x:v>
      </x:c>
      <x:c r="T1085" t="str">
        <x:v>E-501 rb leak again, prod upset</x:v>
      </x:c>
      <x:c r="U1085" t="str">
        <x:v>B shift called for E-501 deethanizer reboiler, steam/hm valve no resp seen during reboiler duty loss. Foud rb leak; channel flange weep. No spare in store at first, used refurb one from shop. replaced positioner tubing and retuned small. no leak at handover. notif made by ops, maint attended same shift.</x:v>
      </x:c>
    </x:row>
    <x:row r="1086" ht="15" hidden="0" customHeight="1">
      <x:c r="A1086" t="str">
        <x:v>10451085</x:v>
      </x:c>
      <x:c r="B1086" t="str">
        <x:v>40871085</x:v>
      </x:c>
      <x:c r="C1086" t="str">
        <x:v>2025-10-05</x:v>
      </x:c>
      <x:c r="D1086" t="str">
        <x:v>2025-10-06</x:v>
      </x:c>
      <x:c r="E1086" t="str">
        <x:v>2025-10-07</x:v>
      </x:c>
      <x:c r="F1086" t="str">
        <x:v>U400-DEETHANIZER-500</x:v>
      </x:c>
      <x:c r="G1086" t="str">
        <x:v>TT-503</x:v>
      </x:c>
      <x:c r="H1086" t="str">
        <x:v>reboiler outlet temperature tx</x:v>
      </x:c>
      <x:c r="I1086" t="str">
        <x:v>instrument</x:v>
      </x:c>
      <x:c r="J1086" t="str">
        <x:v>P3</x:v>
      </x:c>
      <x:c r="K1086" t="str">
        <x:v>COMP</x:v>
      </x:c>
      <x:c r="L1086" t="str">
        <x:v>ANLYZR</x:v>
      </x:c>
      <x:c r="M1086" t="str">
        <x:v>reboiler_duty_loss</x:v>
      </x:c>
      <x:c r="N1086" t="str">
        <x:v>no signal</x:v>
      </x:c>
      <x:c r="O1086" t="str">
        <x:v>NO_SIGNAL</x:v>
      </x:c>
      <x:c r="P1086" t="str">
        <x:v>ELEC</x:v>
      </x:c>
      <x:c r="Q1086" t="str">
        <x:v>N</x:v>
      </x:c>
      <x:c r="R1086" t="str">
        <x:v>9.0</x:v>
      </x:c>
      <x:c r="S1086" t="str">
        <x:v>6517.12</x:v>
      </x:c>
      <x:c r="T1086" t="str">
        <x:v>TT-503 rb circ cold, no signal</x:v>
      </x:c>
      <x:c r="U1086" t="str">
        <x:v>C shift called for TT-503 reboiler outlet temperature tx, c2 in btm seen during reboiler duty loss. Foud no signal; 24v or card issue. replaced positioner tubing and retuned small. need watch next feed swing. notif made by ops, maint attended same shift.</x:v>
      </x:c>
    </x:row>
    <x:row r="1087" ht="15" hidden="0" customHeight="1">
      <x:c r="A1087" t="str">
        <x:v>10451086</x:v>
      </x:c>
      <x:c r="B1087" t="str">
        <x:v>40871086</x:v>
      </x:c>
      <x:c r="C1087" t="str">
        <x:v>2025-10-02</x:v>
      </x:c>
      <x:c r="D1087" t="str">
        <x:v>2025-10-03</x:v>
      </x:c>
      <x:c r="E1087" t="str">
        <x:v>2025-10-03</x:v>
      </x:c>
      <x:c r="F1087" t="str">
        <x:v>U400-DEETHANIZER-500</x:v>
      </x:c>
      <x:c r="G1087" t="str">
        <x:v>AIT-502</x:v>
      </x:c>
      <x:c r="H1087" t="str">
        <x:v>bottoms C3+ analyzer</x:v>
      </x:c>
      <x:c r="I1087" t="str">
        <x:v>analyzer</x:v>
      </x:c>
      <x:c r="J1087" t="str">
        <x:v>P3</x:v>
      </x:c>
      <x:c r="K1087" t="str">
        <x:v>TECO</x:v>
      </x:c>
      <x:c r="L1087" t="str">
        <x:v>OPS+INST</x:v>
      </x:c>
      <x:c r="M1087" t="str">
        <x:v>feed_composition_shift</x:v>
      </x:c>
      <x:c r="N1087" t="str">
        <x:v>bad gc cycle</x:v>
      </x:c>
      <x:c r="O1087" t="str">
        <x:v>NO_ANALYSIS</x:v>
      </x:c>
      <x:c r="P1087" t="str">
        <x:v>ELEC</x:v>
      </x:c>
      <x:c r="Q1087" t="str">
        <x:v>N</x:v>
      </x:c>
      <x:c r="R1087" t="str">
        <x:v>7.9</x:v>
      </x:c>
      <x:c r="S1087" t="str">
        <x:v>5161.35</x:v>
      </x:c>
      <x:c r="T1087" t="str">
        <x:v>AIT-502 anlyzr off, bad gc cycle</x:v>
      </x:c>
      <x:c r="U1087" t="str">
        <x:v>C shift called for AIT-502 bottoms C3+ analyzer, anlyzr off seen during feed composition shift. Foud bad gc cycle; cycle abort. replaced positioner tubing and retuned small. no leak at handover. notif made by ops, maint attended same shift.</x:v>
      </x:c>
    </x:row>
    <x:row r="1088" ht="15" hidden="0" customHeight="1">
      <x:c r="A1088" t="str">
        <x:v>10451087</x:v>
      </x:c>
      <x:c r="B1088" t="str">
        <x:v>40871087</x:v>
      </x:c>
      <x:c r="C1088" t="str">
        <x:v>2025-10-06</x:v>
      </x:c>
      <x:c r="D1088" t="str">
        <x:v>2025-10-08</x:v>
      </x:c>
      <x:c r="E1088" t="str">
        <x:v>2025-10-09</x:v>
      </x:c>
      <x:c r="F1088" t="str">
        <x:v>U400-DEETHANIZER-500</x:v>
      </x:c>
      <x:c r="G1088" t="str">
        <x:v>V-501</x:v>
      </x:c>
      <x:c r="H1088" t="str">
        <x:v>deethanizer reflux drum</x:v>
      </x:c>
      <x:c r="I1088" t="str">
        <x:v>vessel</x:v>
      </x:c>
      <x:c r="J1088" t="str">
        <x:v>P3</x:v>
      </x:c>
      <x:c r="K1088" t="str">
        <x:v>TECO</x:v>
      </x:c>
      <x:c r="L1088" t="str">
        <x:v>OPS+INST</x:v>
      </x:c>
      <x:c r="M1088" t="str">
        <x:v>pressure_control_fault</x:v>
      </x:c>
      <x:c r="N1088" t="str">
        <x:v>pressure erratic</x:v>
      </x:c>
      <x:c r="O1088" t="str">
        <x:v>PRESS_SWING</x:v>
      </x:c>
      <x:c r="P1088" t="str">
        <x:v>CTRL</x:v>
      </x:c>
      <x:c r="Q1088" t="str">
        <x:v>N</x:v>
      </x:c>
      <x:c r="R1088" t="str">
        <x:v>17.7</x:v>
      </x:c>
      <x:c r="S1088" t="str">
        <x:v>5873.41</x:v>
      </x:c>
      <x:c r="T1088" t="str">
        <x:v>V-501 not ok after pressure control fault</x:v>
      </x:c>
      <x:c r="U1088" t="str">
        <x:v>B shift called for V-501 deethanizer reflux drum, pv not movng seen during pressure control fault. Foud pressure erratic; pv/pic issue. reset trip and monitored for 2 hrs. need watch next feed swing. notif made by ops, maint attended same shift.</x:v>
      </x:c>
    </x:row>
    <x:row r="1089" ht="15" hidden="0" customHeight="1">
      <x:c r="A1089" t="str">
        <x:v>10451088</x:v>
      </x:c>
      <x:c r="B1089" t="str">
        <x:v>40871088</x:v>
      </x:c>
      <x:c r="C1089" t="str">
        <x:v>2025-10-09</x:v>
      </x:c>
      <x:c r="D1089" t="str">
        <x:v>2025-10-09</x:v>
      </x:c>
      <x:c r="E1089" t="str">
        <x:v>2025-10-10</x:v>
      </x:c>
      <x:c r="F1089" t="str">
        <x:v>U400-DEETHANIZER-500</x:v>
      </x:c>
      <x:c r="G1089" t="str">
        <x:v>PSV-501A</x:v>
      </x:c>
      <x:c r="H1089" t="str">
        <x:v>column relief valve A</x:v>
      </x:c>
      <x:c r="I1089" t="str">
        <x:v>relief</x:v>
      </x:c>
      <x:c r="J1089" t="str">
        <x:v>P2</x:v>
      </x:c>
      <x:c r="K1089" t="str">
        <x:v>COMP</x:v>
      </x:c>
      <x:c r="L1089" t="str">
        <x:v>ANLYZR</x:v>
      </x:c>
      <x:c r="M1089" t="str">
        <x:v>pressure_control_fault</x:v>
      </x:c>
      <x:c r="N1089" t="str">
        <x:v>seat passing</x:v>
      </x:c>
      <x:c r="O1089" t="str">
        <x:v>LEAK_BY</x:v>
      </x:c>
      <x:c r="P1089" t="str">
        <x:v>SEAT</x:v>
      </x:c>
      <x:c r="Q1089" t="str">
        <x:v>N</x:v>
      </x:c>
      <x:c r="R1089" t="str">
        <x:v>15.4</x:v>
      </x:c>
      <x:c r="S1089" t="str">
        <x:v>1720.34</x:v>
      </x:c>
      <x:c r="T1089" t="str">
        <x:v>chk PSV-501A - seat passing frm ops</x:v>
      </x:c>
      <x:c r="U1089" t="str">
        <x:v>days called for PSV-501A column relief vavle A, pshh close call seen during pressure control fault. Foud seat passing; tail pipe warm. History shows same complain last mnth. tightened fittings, leak test ok. ops says ok for now. notif made by ops, maint attended same shift.</x:v>
      </x:c>
    </x:row>
    <x:row r="1090" ht="15" hidden="0" customHeight="1">
      <x:c r="A1090" t="str">
        <x:v>10451089</x:v>
      </x:c>
      <x:c r="B1090" t="str">
        <x:v>40871089</x:v>
      </x:c>
      <x:c r="C1090" t="str">
        <x:v>2025-10-08</x:v>
      </x:c>
      <x:c r="D1090" t="str">
        <x:v>2025-10-10</x:v>
      </x:c>
      <x:c r="E1090" t="str">
        <x:v>2025-10-12</x:v>
      </x:c>
      <x:c r="F1090" t="str">
        <x:v>U400-DEETHANIZER-500</x:v>
      </x:c>
      <x:c r="G1090" t="str">
        <x:v>E-503</x:v>
      </x:c>
      <x:c r="H1090" t="str">
        <x:v>feed bottoms exchanger</x:v>
      </x:c>
      <x:c r="I1090" t="str">
        <x:v>exchanger</x:v>
      </x:c>
      <x:c r="J1090" t="str">
        <x:v>P4</x:v>
      </x:c>
      <x:c r="K1090" t="str">
        <x:v>CLSD</x:v>
      </x:c>
      <x:c r="L1090" t="str">
        <x:v>OPS+MECH</x:v>
      </x:c>
      <x:c r="M1090" t="str">
        <x:v>feed_flow_step</x:v>
      </x:c>
      <x:c r="N1090" t="str">
        <x:v>gasket weep</x:v>
      </x:c>
      <x:c r="O1090" t="str">
        <x:v>LEAK</x:v>
      </x:c>
      <x:c r="P1090" t="str">
        <x:v>GASKET</x:v>
      </x:c>
      <x:c r="Q1090" t="str">
        <x:v>N</x:v>
      </x:c>
      <x:c r="R1090" t="str">
        <x:v>10.8</x:v>
      </x:c>
      <x:c r="S1090" t="str">
        <x:v>6061.41</x:v>
      </x:c>
      <x:c r="T1090" t="str">
        <x:v>E-503 fic hunting, gasket weep</x:v>
      </x:c>
      <x:c r="U1090" t="str">
        <x:v>days called for E-503 feed bottoms exchanger, lvl swing seen during feed flow step. Foud gasket weep; flange sweating. History shows same complain last mnth. calibrated, loop checked with CCR. temp repair only, plan shutdown job. notif made by ops, maint attended same shift.</x:v>
      </x:c>
    </x:row>
    <x:row r="1091" ht="15" hidden="0" customHeight="1">
      <x:c r="A1091" t="str">
        <x:v>10451090</x:v>
      </x:c>
      <x:c r="B1091" t="str">
        <x:v>40871090</x:v>
      </x:c>
      <x:c r="C1091" t="str">
        <x:v>2025-10-08</x:v>
      </x:c>
      <x:c r="D1091" t="str">
        <x:v>2025-10-08</x:v>
      </x:c>
      <x:c r="E1091" t="str">
        <x:v>2025-10-08</x:v>
      </x:c>
      <x:c r="F1091" t="str">
        <x:v>U400-DEETHANIZER-500</x:v>
      </x:c>
      <x:c r="G1091" t="str">
        <x:v>E-502</x:v>
      </x:c>
      <x:c r="H1091" t="str">
        <x:v>deethanizer overhead condenser</x:v>
      </x:c>
      <x:c r="I1091" t="str">
        <x:v>condenser</x:v>
      </x:c>
      <x:c r="J1091" t="str">
        <x:v>P3</x:v>
      </x:c>
      <x:c r="K1091" t="str">
        <x:v>CLSD</x:v>
      </x:c>
      <x:c r="L1091" t="str">
        <x:v>ROT</x:v>
      </x:c>
      <x:c r="M1091" t="str">
        <x:v>pressure_control_fault</x:v>
      </x:c>
      <x:c r="N1091" t="str">
        <x:v>tv no travel</x:v>
      </x:c>
      <x:c r="O1091" t="str">
        <x:v>VALVE</x:v>
      </x:c>
      <x:c r="P1091" t="str">
        <x:v>STICK</x:v>
      </x:c>
      <x:c r="Q1091" t="str">
        <x:v>N</x:v>
      </x:c>
      <x:c r="R1091" t="str">
        <x:v>15.9</x:v>
      </x:c>
      <x:c r="S1091" t="str">
        <x:v>7847.93</x:v>
      </x:c>
      <x:c r="T1091" t="str">
        <x:v>E-502 tv no travel bad</x:v>
      </x:c>
      <x:c r="U1091" t="str">
        <x:v>A shift called for E-502 deethanizer overhead condenser, press spike seen during press control fault. Foud tv no travel; cooling valve stuck. replaced positioner tubing and retuned small. temp repair only, plan shutdown job. notif made by ops, maint attended same shift.</x:v>
      </x:c>
    </x:row>
    <x:row r="1092" ht="15" hidden="0" customHeight="1">
      <x:c r="A1092" t="str">
        <x:v>10451091</x:v>
      </x:c>
      <x:c r="B1092" t="str">
        <x:v>40871091</x:v>
      </x:c>
      <x:c r="C1092" t="str">
        <x:v>2025-10-10</x:v>
      </x:c>
      <x:c r="D1092" t="str">
        <x:v>2025-10-10</x:v>
      </x:c>
      <x:c r="E1092" t="str">
        <x:v>2025-10-10</x:v>
      </x:c>
      <x:c r="F1092" t="str">
        <x:v>U400-DEETHANIZER-500</x:v>
      </x:c>
      <x:c r="G1092" t="str">
        <x:v>PSV-501A</x:v>
      </x:c>
      <x:c r="H1092" t="str">
        <x:v>column relief valve A</x:v>
      </x:c>
      <x:c r="I1092" t="str">
        <x:v>relief</x:v>
      </x:c>
      <x:c r="J1092" t="str">
        <x:v>P3</x:v>
      </x:c>
      <x:c r="K1092" t="str">
        <x:v>COMP</x:v>
      </x:c>
      <x:c r="L1092" t="str">
        <x:v>MECH</x:v>
      </x:c>
      <x:c r="M1092" t="str">
        <x:v>pressure_control_fault</x:v>
      </x:c>
      <x:c r="N1092" t="str">
        <x:v>due to lift chk</x:v>
      </x:c>
      <x:c r="O1092" t="str">
        <x:v>LIFT_EVENT</x:v>
      </x:c>
      <x:c r="P1092" t="str">
        <x:v>PROCESS</x:v>
      </x:c>
      <x:c r="Q1092" t="str">
        <x:v>N</x:v>
      </x:c>
      <x:c r="R1092" t="str">
        <x:v>14.4</x:v>
      </x:c>
      <x:c r="S1092" t="str">
        <x:v>223.91</x:v>
      </x:c>
      <x:c r="T1092" t="str">
        <x:v>PSV-501A due to lift chk ops req</x:v>
      </x:c>
      <x:c r="U1092" t="str">
        <x:v>B shift called for PSV-501A column relief valve A, pshh close call seen during press control fault. Foud due to lift chk; after press excursion. Tag plate dirty, confirmd by line up with panel. calibrated, loop checked with CCR. need watch next feed swing. notif made by ops, maint attended same shift.</x:v>
      </x:c>
    </x:row>
    <x:row r="1093" ht="15" hidden="0" customHeight="1">
      <x:c r="A1093" t="str">
        <x:v>10451092</x:v>
      </x:c>
      <x:c r="B1093" t="str">
        <x:v>40871092</x:v>
      </x:c>
      <x:c r="C1093" t="str">
        <x:v>2025-10-10</x:v>
      </x:c>
      <x:c r="D1093" t="str">
        <x:v>2025-10-10</x:v>
      </x:c>
      <x:c r="E1093" t="str">
        <x:v>2025-10-11</x:v>
      </x:c>
      <x:c r="F1093" t="str">
        <x:v>U400-DEETHANIZER-500</x:v>
      </x:c>
      <x:c r="G1093" t="str">
        <x:v>P-501A</x:v>
      </x:c>
      <x:c r="H1093" t="str">
        <x:v>reflux pump A</x:v>
      </x:c>
      <x:c r="I1093" t="str">
        <x:v>pump</x:v>
      </x:c>
      <x:c r="J1093" t="str">
        <x:v>P2</x:v>
      </x:c>
      <x:c r="K1093" t="str">
        <x:v>COMP</x:v>
      </x:c>
      <x:c r="L1093" t="str">
        <x:v>ANLYZR</x:v>
      </x:c>
      <x:c r="M1093" t="str">
        <x:v>reflux_pump_degradation</x:v>
      </x:c>
      <x:c r="N1093" t="str">
        <x:v>motor trip</x:v>
      </x:c>
      <x:c r="O1093" t="str">
        <x:v>MOTOR</x:v>
      </x:c>
      <x:c r="P1093" t="str">
        <x:v>ELEC</x:v>
      </x:c>
      <x:c r="Q1093" t="str">
        <x:v>N</x:v>
      </x:c>
      <x:c r="R1093" t="str">
        <x:v>9.7</x:v>
      </x:c>
      <x:c r="S1093" t="str">
        <x:v>7879.16</x:v>
      </x:c>
      <x:c r="T1093" t="str">
        <x:v>P-501A not ok after reflux pump degradation</x:v>
      </x:c>
      <x:c r="U1093" t="str">
        <x:v>days called for P-501A reflux pump A, disch press low seen during reflux pump degradation. Foud motor trip; overload trip after upset. Could not get permit first time waiting area gas test. calibrated, loop checked with CCR. readng close to dcs after job. notif made by ops, maint attended same shift.</x:v>
      </x:c>
    </x:row>
    <x:row r="1094" ht="15" hidden="0" customHeight="1">
      <x:c r="A1094" t="str">
        <x:v>10451093</x:v>
      </x:c>
      <x:c r="B1094" t="str">
        <x:v>40871093</x:v>
      </x:c>
      <x:c r="C1094" t="str">
        <x:v>2025-10-15</x:v>
      </x:c>
      <x:c r="D1094" t="str">
        <x:v>2025-10-16</x:v>
      </x:c>
      <x:c r="E1094" t="str">
        <x:v>2025-10-19</x:v>
      </x:c>
      <x:c r="F1094" t="str">
        <x:v>U400-DEETHANIZER-500</x:v>
      </x:c>
      <x:c r="G1094" t="str">
        <x:v>TV-502</x:v>
      </x:c>
      <x:c r="H1094" t="str">
        <x:v>condenser cooling valve</x:v>
      </x:c>
      <x:c r="I1094" t="str">
        <x:v>control_valve</x:v>
      </x:c>
      <x:c r="J1094" t="str">
        <x:v>P4</x:v>
      </x:c>
      <x:c r="K1094" t="str">
        <x:v>CLSD</x:v>
      </x:c>
      <x:c r="L1094" t="str">
        <x:v>OPS+INST</x:v>
      </x:c>
      <x:c r="M1094" t="str">
        <x:v>reflux_pump_degradation</x:v>
      </x:c>
      <x:c r="N1094" t="str">
        <x:v>hunting loop</x:v>
      </x:c>
      <x:c r="O1094" t="str">
        <x:v>CTRL_OSC</x:v>
      </x:c>
      <x:c r="P1094" t="str">
        <x:v>TUNE</x:v>
      </x:c>
      <x:c r="Q1094" t="str">
        <x:v>N</x:v>
      </x:c>
      <x:c r="R1094" t="str">
        <x:v>10.0</x:v>
      </x:c>
      <x:c r="S1094" t="str">
        <x:v>930.31</x:v>
      </x:c>
      <x:c r="T1094" t="str">
        <x:v>TV-502 not ok after rflx pump degradation</x:v>
      </x:c>
      <x:c r="U1094" t="str">
        <x:v>B shift called for TV-502 condenser cooling vavle, seal weep seen during rflx pump degradation. Foud hunting loop; bad response after upset. Line was hot so job done slow and with ops standing by. tightened fittings, leak test ok. unit stable now. notif made by ops, maint attended same shift.</x:v>
      </x:c>
    </x:row>
    <x:row r="1095" ht="15" hidden="0" customHeight="1">
      <x:c r="A1095" t="str">
        <x:v>10451094</x:v>
      </x:c>
      <x:c r="B1095" t="str">
        <x:v>40871094</x:v>
      </x:c>
      <x:c r="C1095" t="str">
        <x:v>2025-10-18</x:v>
      </x:c>
      <x:c r="D1095" t="str">
        <x:v>2025-10-18</x:v>
      </x:c>
      <x:c r="E1095" t="str">
        <x:v>2025-10-19</x:v>
      </x:c>
      <x:c r="F1095" t="str">
        <x:v>U400-DEETHANIZER-500</x:v>
      </x:c>
      <x:c r="G1095" t="str">
        <x:v>FT-501</x:v>
      </x:c>
      <x:c r="H1095" t="str">
        <x:v>feed flow transmitter</x:v>
      </x:c>
      <x:c r="I1095" t="str">
        <x:v>instrument</x:v>
      </x:c>
      <x:c r="J1095" t="str">
        <x:v>P2</x:v>
      </x:c>
      <x:c r="K1095" t="str">
        <x:v>COMP</x:v>
      </x:c>
      <x:c r="L1095" t="str">
        <x:v>ANLYZR</x:v>
      </x:c>
      <x:c r="M1095" t="str">
        <x:v>reboiler_duty_loss</x:v>
      </x:c>
      <x:c r="N1095" t="str">
        <x:v>no signal</x:v>
      </x:c>
      <x:c r="O1095" t="str">
        <x:v>NO_SIGNAL</x:v>
      </x:c>
      <x:c r="P1095" t="str">
        <x:v>ELEC</x:v>
      </x:c>
      <x:c r="Q1095" t="str">
        <x:v>N</x:v>
      </x:c>
      <x:c r="R1095" t="str">
        <x:v>1.7</x:v>
      </x:c>
      <x:c r="S1095" t="str">
        <x:v>3038.65</x:v>
      </x:c>
      <x:c r="T1095" t="str">
        <x:v>FT-501 no signal again, prod upset</x:v>
      </x:c>
      <x:c r="U1095" t="str">
        <x:v>C shift called for FT-501 feed flow transmitter, steam/hm valve no resp seen during reboiler duty loss. Foud no signal; 24v or card issue. Could not get permit first time waiting area gas test. stroke tested, response better. temp repair only, plan shutdown job. notif made by ops, maint attended same shift.</x:v>
      </x:c>
    </x:row>
    <x:row r="1096" ht="15" hidden="0" customHeight="1">
      <x:c r="A1096" t="str">
        <x:v>10451095</x:v>
      </x:c>
      <x:c r="B1096" t="str">
        <x:v>40871095</x:v>
      </x:c>
      <x:c r="C1096" t="str">
        <x:v>2025-10-17</x:v>
      </x:c>
      <x:c r="D1096" t="str">
        <x:v>2025-10-17</x:v>
      </x:c>
      <x:c r="E1096" t="str">
        <x:v>2025-10-18</x:v>
      </x:c>
      <x:c r="F1096" t="str">
        <x:v>U400-DEETHANIZER-500</x:v>
      </x:c>
      <x:c r="G1096" t="str">
        <x:v>PV-501</x:v>
      </x:c>
      <x:c r="H1096" t="str">
        <x:v>column pressure control valve</x:v>
      </x:c>
      <x:c r="I1096" t="str">
        <x:v>control_valve</x:v>
      </x:c>
      <x:c r="J1096" t="str">
        <x:v>P2</x:v>
      </x:c>
      <x:c r="K1096" t="str">
        <x:v>TECO</x:v>
      </x:c>
      <x:c r="L1096" t="str">
        <x:v>MECH</x:v>
      </x:c>
      <x:c r="M1096" t="str">
        <x:v>valve_stiction</x:v>
      </x:c>
      <x:c r="N1096" t="str">
        <x:v>air leak</x:v>
      </x:c>
      <x:c r="O1096" t="str">
        <x:v>AIR_LEAK</x:v>
      </x:c>
      <x:c r="P1096" t="str">
        <x:v>TUBING</x:v>
      </x:c>
      <x:c r="Q1096" t="str">
        <x:v>Y</x:v>
      </x:c>
      <x:c r="R1096" t="str">
        <x:v>10.6</x:v>
      </x:c>
      <x:c r="S1096" t="str">
        <x:v>4758.86</x:v>
      </x:c>
      <x:c r="T1096" t="str">
        <x:v>PV-501 air leak again, prod upset</x:v>
      </x:c>
      <x:c r="U1096" t="str">
        <x:v>C shift called for PV-501 colmn pressure control valve, loop cycling seen during valve stiction. Foud air leak; positioner supply drop. Tag plate dirty, confirmd by line up with panel. changed gasket and boxed up. need watch next feed swing. notif made by ops, maint attended same shift.</x:v>
      </x:c>
    </x:row>
    <x:row r="1097" ht="15" hidden="0" customHeight="1">
      <x:c r="A1097" t="str">
        <x:v>10451096</x:v>
      </x:c>
      <x:c r="B1097" t="str">
        <x:v>40871096</x:v>
      </x:c>
      <x:c r="C1097" t="str">
        <x:v>2025-10-20</x:v>
      </x:c>
      <x:c r="D1097" t="str">
        <x:v>2025-10-20</x:v>
      </x:c>
      <x:c r="E1097" t="str">
        <x:v>2025-11-03</x:v>
      </x:c>
      <x:c r="F1097" t="str">
        <x:v>U400-DEETHANIZER-500</x:v>
      </x:c>
      <x:c r="G1097" t="str">
        <x:v>FV-502</x:v>
      </x:c>
      <x:c r="H1097" t="str">
        <x:v>reflux flow control valve</x:v>
      </x:c>
      <x:c r="I1097" t="str">
        <x:v>control_valve</x:v>
      </x:c>
      <x:c r="J1097" t="str">
        <x:v>P3</x:v>
      </x:c>
      <x:c r="K1097" t="str">
        <x:v>CLSD</x:v>
      </x:c>
      <x:c r="L1097" t="str">
        <x:v>ANLYZR</x:v>
      </x:c>
      <x:c r="M1097" t="str">
        <x:v>reflux_pump_degradation</x:v>
      </x:c>
      <x:c r="N1097" t="str">
        <x:v>hunting loop</x:v>
      </x:c>
      <x:c r="O1097" t="str">
        <x:v>CTRL_OSC</x:v>
      </x:c>
      <x:c r="P1097" t="str">
        <x:v>TUNE</x:v>
      </x:c>
      <x:c r="Q1097" t="str">
        <x:v>N</x:v>
      </x:c>
      <x:c r="R1097" t="str">
        <x:v>7.6</x:v>
      </x:c>
      <x:c r="S1097" t="str">
        <x:v>3468.35</x:v>
      </x:c>
      <x:c r="T1097" t="str">
        <x:v>FV-502 seal weep, hunting loop</x:v>
      </x:c>
      <x:c r="U1097" t="str">
        <x:v>B shift called for FV-502 reflux flow control vavle, seal weep seen during reflux pump degradation. Foud hunting loop; bad response after upset. reset trip and monitored for 2 hrs. unit stable now. notif made by ops, maint attended same shift.</x:v>
      </x:c>
    </x:row>
    <x:row r="1098" ht="15" hidden="0" customHeight="1">
      <x:c r="A1098" t="str">
        <x:v>10451097</x:v>
      </x:c>
      <x:c r="B1098" t="str">
        <x:v>40871097</x:v>
      </x:c>
      <x:c r="C1098" t="str">
        <x:v>2025-10-22</x:v>
      </x:c>
      <x:c r="D1098" t="str">
        <x:v>2025-10-23</x:v>
      </x:c>
      <x:c r="E1098" t="str">
        <x:v>2025-10-25</x:v>
      </x:c>
      <x:c r="F1098" t="str">
        <x:v>U400-DEETHANIZER-500</x:v>
      </x:c>
      <x:c r="G1098" t="str">
        <x:v>PV-501</x:v>
      </x:c>
      <x:c r="H1098" t="str">
        <x:v>column pressure control valve</x:v>
      </x:c>
      <x:c r="I1098" t="str">
        <x:v>control_valve</x:v>
      </x:c>
      <x:c r="J1098" t="str">
        <x:v>P2</x:v>
      </x:c>
      <x:c r="K1098" t="str">
        <x:v>COMP</x:v>
      </x:c>
      <x:c r="L1098" t="str">
        <x:v>INST</x:v>
      </x:c>
      <x:c r="M1098" t="str">
        <x:v>condenser_fouling</x:v>
      </x:c>
      <x:c r="N1098" t="str">
        <x:v>hunting loop</x:v>
      </x:c>
      <x:c r="O1098" t="str">
        <x:v>CTRL_OSC</x:v>
      </x:c>
      <x:c r="P1098" t="str">
        <x:v>TUNE</x:v>
      </x:c>
      <x:c r="Q1098" t="str">
        <x:v>N</x:v>
      </x:c>
      <x:c r="R1098" t="str">
        <x:v>3.8</x:v>
      </x:c>
      <x:c r="S1098" t="str">
        <x:v>1313.12</x:v>
      </x:c>
      <x:c r="T1098" t="str">
        <x:v>PV-501 hunting loop pls chk</x:v>
      </x:c>
      <x:c r="U1098" t="str">
        <x:v>B shift called for PV-501 column press control valve, high ovhd press seen during condenser fouling. Foud hunting loop; bad response after upset. opened strainer, cleaned black sludge. no leak at handover. notif made by ops, maint attended same shift.</x:v>
      </x:c>
    </x:row>
    <x:row r="1099" ht="15" hidden="0" customHeight="1">
      <x:c r="A1099" t="str">
        <x:v>10451098</x:v>
      </x:c>
      <x:c r="B1099" t="str">
        <x:v>40871098</x:v>
      </x:c>
      <x:c r="C1099" t="str">
        <x:v>2025-10-24</x:v>
      </x:c>
      <x:c r="D1099" t="str">
        <x:v>2025-10-24</x:v>
      </x:c>
      <x:c r="E1099" t="str">
        <x:v>2025-10-31</x:v>
      </x:c>
      <x:c r="F1099" t="str">
        <x:v>U400-DEETHANIZER-500</x:v>
      </x:c>
      <x:c r="G1099" t="str">
        <x:v>P-502A</x:v>
      </x:c>
      <x:c r="H1099" t="str">
        <x:v>bottoms pump A</x:v>
      </x:c>
      <x:c r="I1099" t="str">
        <x:v>pump</x:v>
      </x:c>
      <x:c r="J1099" t="str">
        <x:v>P3</x:v>
      </x:c>
      <x:c r="K1099" t="str">
        <x:v>CLSD</x:v>
      </x:c>
      <x:c r="L1099" t="str">
        <x:v>E&amp;I</x:v>
      </x:c>
      <x:c r="M1099" t="str">
        <x:v>feed_composition_shift</x:v>
      </x:c>
      <x:c r="N1099" t="str">
        <x:v>seal leak</x:v>
      </x:c>
      <x:c r="O1099" t="str">
        <x:v>MECH_SEAL</x:v>
      </x:c>
      <x:c r="P1099" t="str">
        <x:v>SEAL</x:v>
      </x:c>
      <x:c r="Q1099" t="str">
        <x:v>N</x:v>
      </x:c>
      <x:c r="R1099" t="str">
        <x:v>12.1</x:v>
      </x:c>
      <x:c r="S1099" t="str">
        <x:v>2024.01</x:v>
      </x:c>
      <x:c r="T1099" t="str">
        <x:v>P-502A not ok after feed composition shift</x:v>
      </x:c>
      <x:c r="U1099" t="str">
        <x:v>C shift called for P-502A bottoms pump A, anlyzr off seen during feed composition shift. Foud seal leak; seal face worn / dry run signs. History shows same complain last mnth. opened strainer, cleaned black sludge. no leak at handover. notif made by ops, maint attended same shift.</x:v>
      </x:c>
    </x:row>
    <x:row r="1100" ht="15" hidden="0" customHeight="1">
      <x:c r="A1100" t="str">
        <x:v>10451099</x:v>
      </x:c>
      <x:c r="B1100" t="str">
        <x:v>40871099</x:v>
      </x:c>
      <x:c r="C1100" t="str">
        <x:v>2025-10-22</x:v>
      </x:c>
      <x:c r="D1100" t="str">
        <x:v>2025-10-24</x:v>
      </x:c>
      <x:c r="E1100" t="str">
        <x:v>2025-10-24</x:v>
      </x:c>
      <x:c r="F1100" t="str">
        <x:v>U400-DEETHANIZER-500</x:v>
      </x:c>
      <x:c r="G1100" t="str">
        <x:v>XV-501</x:v>
      </x:c>
      <x:c r="H1100" t="str">
        <x:v>feed shutdown valve</x:v>
      </x:c>
      <x:c r="I1100" t="str">
        <x:v>shutdown_valve</x:v>
      </x:c>
      <x:c r="J1100" t="str">
        <x:v>P2</x:v>
      </x:c>
      <x:c r="K1100" t="str">
        <x:v>COMP</x:v>
      </x:c>
      <x:c r="L1100" t="str">
        <x:v>INST</x:v>
      </x:c>
      <x:c r="M1100" t="str">
        <x:v>normal_wear</x:v>
      </x:c>
      <x:c r="N1100" t="str">
        <x:v>solenoid fault</x:v>
      </x:c>
      <x:c r="O1100" t="str">
        <x:v>SOL</x:v>
      </x:c>
      <x:c r="P1100" t="str">
        <x:v>ELEC</x:v>
      </x:c>
      <x:c r="Q1100" t="str">
        <x:v>N</x:v>
      </x:c>
      <x:c r="R1100" t="str">
        <x:v>1.3</x:v>
      </x:c>
      <x:c r="S1100" t="str">
        <x:v>5243.2</x:v>
      </x:c>
      <x:c r="T1100" t="str">
        <x:v>XV-501 leak, solenoid fault</x:v>
      </x:c>
      <x:c r="U1100" t="str">
        <x:v>night called for XV-501 feed shutdown valve, bad reading seen during normal wear. Foud solenoid fault; coil hot/no shift. No spare in store at first, used refurb one from shop. opened strainer, cleaned black sludge. need watch next feed swing. notif made by ops, maint attended same shift.</x:v>
      </x:c>
    </x:row>
    <x:row r="1101" ht="15" hidden="0" customHeight="1">
      <x:c r="A1101" t="str">
        <x:v>10451100</x:v>
      </x:c>
      <x:c r="B1101" t="str">
        <x:v>40871100</x:v>
      </x:c>
      <x:c r="C1101" t="str">
        <x:v>2025-10-23</x:v>
      </x:c>
      <x:c r="D1101" t="str">
        <x:v>2025-10-23</x:v>
      </x:c>
      <x:c r="E1101" t="str">
        <x:v>2025-10-23</x:v>
      </x:c>
      <x:c r="F1101" t="str">
        <x:v>U400-DEETHANIZER-500</x:v>
      </x:c>
      <x:c r="G1101" t="str">
        <x:v>LV-501</x:v>
      </x:c>
      <x:c r="H1101" t="str">
        <x:v>reflux drum level valve</x:v>
      </x:c>
      <x:c r="I1101" t="str">
        <x:v>control_valve</x:v>
      </x:c>
      <x:c r="J1101" t="str">
        <x:v>P3</x:v>
      </x:c>
      <x:c r="K1101" t="str">
        <x:v>TECO</x:v>
      </x:c>
      <x:c r="L1101" t="str">
        <x:v>ANLYZR</x:v>
      </x:c>
      <x:c r="M1101" t="str">
        <x:v>reflux_pump_degradation</x:v>
      </x:c>
      <x:c r="N1101" t="str">
        <x:v>not stroking</x:v>
      </x:c>
      <x:c r="O1101" t="str">
        <x:v>NO_TRAVEL</x:v>
      </x:c>
      <x:c r="P1101" t="str">
        <x:v>ACT</x:v>
      </x:c>
      <x:c r="Q1101" t="str">
        <x:v>N</x:v>
      </x:c>
      <x:c r="R1101" t="str">
        <x:v>10.8</x:v>
      </x:c>
      <x:c r="S1101" t="str">
        <x:v>5740.43</x:v>
      </x:c>
      <x:c r="T1101" t="str">
        <x:v>LV-501 low reflux, not stroking</x:v>
      </x:c>
      <x:c r="U1101" t="str">
        <x:v>days called for LV-501 reflux drum level valve, min flow hot seen during reflux pump degradation. Foud not stroking; actuator weak. Tag plate dirty, confirmd by line up with panel. tightened fittings, leak test ok. temp repair only, plan shutdown job. notif made by ops, maint attended same shift.</x:v>
      </x:c>
    </x:row>
    <x:row r="1102" ht="15" hidden="0" customHeight="1">
      <x:c r="A1102" t="str">
        <x:v>10451101</x:v>
      </x:c>
      <x:c r="B1102" t="str">
        <x:v>40871101</x:v>
      </x:c>
      <x:c r="C1102" t="str">
        <x:v>2025-10-28</x:v>
      </x:c>
      <x:c r="D1102" t="str">
        <x:v>2025-10-29</x:v>
      </x:c>
      <x:c r="E1102" t="str">
        <x:v>2025-10-29</x:v>
      </x:c>
      <x:c r="F1102" t="str">
        <x:v>U400-DEETHANIZER-500</x:v>
      </x:c>
      <x:c r="G1102" t="str">
        <x:v>TT-501B</x:v>
      </x:c>
      <x:c r="H1102" t="str">
        <x:v>sensitive tray temperature tx</x:v>
      </x:c>
      <x:c r="I1102" t="str">
        <x:v>instrument</x:v>
      </x:c>
      <x:c r="J1102" t="str">
        <x:v>P3</x:v>
      </x:c>
      <x:c r="K1102" t="str">
        <x:v>TECO</x:v>
      </x:c>
      <x:c r="L1102" t="str">
        <x:v>ANLYZR</x:v>
      </x:c>
      <x:c r="M1102" t="str">
        <x:v>reboiler_duty_loss</x:v>
      </x:c>
      <x:c r="N1102" t="str">
        <x:v>loose wire</x:v>
      </x:c>
      <x:c r="O1102" t="str">
        <x:v>SIGNAL</x:v>
      </x:c>
      <x:c r="P1102" t="str">
        <x:v>ELEC</x:v>
      </x:c>
      <x:c r="Q1102" t="str">
        <x:v>N</x:v>
      </x:c>
      <x:c r="R1102" t="str">
        <x:v>16.2</x:v>
      </x:c>
      <x:c r="S1102" t="str">
        <x:v>901.07</x:v>
      </x:c>
      <x:c r="T1102" t="str">
        <x:v>chk TT-501B - loose wire frm ops</x:v>
      </x:c>
      <x:c r="U1102" t="str">
        <x:v>night called for TT-501B sensitive tray temperature tx, rb circ cold seen during reboiler duty loss. Foud loose wire; term loose. changed gasket and boxed up. need watch next feed swing. notif made by ops, maint attended same shift.</x:v>
      </x:c>
    </x:row>
    <x:row r="1103" ht="15" hidden="0" customHeight="1">
      <x:c r="A1103" t="str">
        <x:v>10451102</x:v>
      </x:c>
      <x:c r="B1103" t="str">
        <x:v>40871102</x:v>
      </x:c>
      <x:c r="C1103" t="str">
        <x:v>2025-10-25</x:v>
      </x:c>
      <x:c r="D1103" t="str">
        <x:v>2025-10-25</x:v>
      </x:c>
      <x:c r="E1103" t="str">
        <x:v>2025-10-26</x:v>
      </x:c>
      <x:c r="F1103" t="str">
        <x:v>U400-DEETHANIZER-500</x:v>
      </x:c>
      <x:c r="G1103" t="str">
        <x:v>LV-502</x:v>
      </x:c>
      <x:c r="H1103" t="str">
        <x:v>bottoms level valve</x:v>
      </x:c>
      <x:c r="I1103" t="str">
        <x:v>control_valve</x:v>
      </x:c>
      <x:c r="J1103" t="str">
        <x:v>P2</x:v>
      </x:c>
      <x:c r="K1103" t="str">
        <x:v>TECO</x:v>
      </x:c>
      <x:c r="L1103" t="str">
        <x:v>ROT</x:v>
      </x:c>
      <x:c r="M1103" t="str">
        <x:v>valve_stiction</x:v>
      </x:c>
      <x:c r="N1103" t="str">
        <x:v>not stroking</x:v>
      </x:c>
      <x:c r="O1103" t="str">
        <x:v>NO_TRAVEL</x:v>
      </x:c>
      <x:c r="P1103" t="str">
        <x:v>ACT</x:v>
      </x:c>
      <x:c r="Q1103" t="str">
        <x:v>N</x:v>
      </x:c>
      <x:c r="R1103" t="str">
        <x:v>3.6</x:v>
      </x:c>
      <x:c r="S1103" t="str">
        <x:v>354.32</x:v>
      </x:c>
      <x:c r="T1103" t="str">
        <x:v>chk LV-502 - not stroking frm ops</x:v>
      </x:c>
      <x:c r="U1103" t="str">
        <x:v>B shift called for LV-502 bottoms level valve, valve sticking seen during valve stiction. Foud not stroking; actuator weak. flushed impulse/sample line. still little hunting but acceptable. notif made by ops, maint attended same shift.</x:v>
      </x:c>
    </x:row>
    <x:row r="1104" ht="15" hidden="0" customHeight="1">
      <x:c r="A1104" t="str">
        <x:v>10451103</x:v>
      </x:c>
      <x:c r="B1104" t="str">
        <x:v>40871103</x:v>
      </x:c>
      <x:c r="C1104" t="str">
        <x:v>2025-10-29</x:v>
      </x:c>
      <x:c r="D1104" t="str">
        <x:v>2025-10-31</x:v>
      </x:c>
      <x:c r="E1104" t="str">
        <x:v>2025-11-02</x:v>
      </x:c>
      <x:c r="F1104" t="str">
        <x:v>U400-DEETHANIZER-500</x:v>
      </x:c>
      <x:c r="G1104" t="str">
        <x:v>E-503</x:v>
      </x:c>
      <x:c r="H1104" t="str">
        <x:v>feed bottoms exchanger</x:v>
      </x:c>
      <x:c r="I1104" t="str">
        <x:v>exchanger</x:v>
      </x:c>
      <x:c r="J1104" t="str">
        <x:v>P2</x:v>
      </x:c>
      <x:c r="K1104" t="str">
        <x:v>COMP</x:v>
      </x:c>
      <x:c r="L1104" t="str">
        <x:v>VALVE</x:v>
      </x:c>
      <x:c r="M1104" t="str">
        <x:v>feed_temperature_ramp</x:v>
      </x:c>
      <x:c r="N1104" t="str">
        <x:v>tube fouling</x:v>
      </x:c>
      <x:c r="O1104" t="str">
        <x:v>FOULING</x:v>
      </x:c>
      <x:c r="P1104" t="str">
        <x:v>PROCESS</x:v>
      </x:c>
      <x:c r="Q1104" t="str">
        <x:v>N</x:v>
      </x:c>
      <x:c r="R1104" t="str">
        <x:v>8.3</x:v>
      </x:c>
      <x:c r="S1104" t="str">
        <x:v>596.08</x:v>
      </x:c>
      <x:c r="T1104" t="str">
        <x:v>chk E-503 - tube fouling frm ops</x:v>
      </x:c>
      <x:c r="U1104" t="str">
        <x:v>C shift called for E-503 feed bottoms exchanger, rb duty up seen during feed temperature ramp. Foud tube fouling; duty low, delta t poor. replaced positioner tubing and retuned small. ops says ok for now. notif made by ops, maint attended same shift.</x:v>
      </x:c>
    </x:row>
    <x:row r="1105" ht="15" hidden="0" customHeight="1">
      <x:c r="A1105" t="str">
        <x:v>10451104</x:v>
      </x:c>
      <x:c r="B1105" t="str">
        <x:v>40871104</x:v>
      </x:c>
      <x:c r="C1105" t="str">
        <x:v>2025-10-29</x:v>
      </x:c>
      <x:c r="D1105" t="str">
        <x:v>2025-10-29</x:v>
      </x:c>
      <x:c r="E1105" t="str">
        <x:v>2025-10-29</x:v>
      </x:c>
      <x:c r="F1105" t="str">
        <x:v>U400-DEETHANIZER-500</x:v>
      </x:c>
      <x:c r="G1105" t="str">
        <x:v>AIT-502</x:v>
      </x:c>
      <x:c r="H1105" t="str">
        <x:v>bottoms C3+ analyzer</x:v>
      </x:c>
      <x:c r="I1105" t="str">
        <x:v>analyzer</x:v>
      </x:c>
      <x:c r="J1105" t="str">
        <x:v>P3</x:v>
      </x:c>
      <x:c r="K1105" t="str">
        <x:v>COMP</x:v>
      </x:c>
      <x:c r="L1105" t="str">
        <x:v>E&amp;I</x:v>
      </x:c>
      <x:c r="M1105" t="str">
        <x:v>feed_composition_shift</x:v>
      </x:c>
      <x:c r="N1105" t="str">
        <x:v>anlyzr drift</x:v>
      </x:c>
      <x:c r="O1105" t="str">
        <x:v>DRIFT</x:v>
      </x:c>
      <x:c r="P1105" t="str">
        <x:v>CAL_GAS</x:v>
      </x:c>
      <x:c r="Q1105" t="str">
        <x:v>N</x:v>
      </x:c>
      <x:c r="R1105" t="str">
        <x:v>5.7</x:v>
      </x:c>
      <x:c r="S1105" t="str">
        <x:v>863.98</x:v>
      </x:c>
      <x:c r="T1105" t="str">
        <x:v>AIT-502 anlyzr drift again, prod upset</x:v>
      </x:c>
      <x:c r="U1105" t="str">
        <x:v>night called for AIT-502 bottoms C3+ analyzer, c3 in feed hi seen during feed composition shift. Foud anlyzr drift; cal gas failed. swapped to standby and repaired. temp repair only, plan shutdown job. notif made by ops, maint attended same shift.</x:v>
      </x:c>
    </x:row>
    <x:row r="1106" ht="15" hidden="0" customHeight="1">
      <x:c r="A1106" t="str">
        <x:v>10451105</x:v>
      </x:c>
      <x:c r="B1106" t="str">
        <x:v>40871105</x:v>
      </x:c>
      <x:c r="C1106" t="str">
        <x:v>2025-11-02</x:v>
      </x:c>
      <x:c r="D1106" t="str">
        <x:v>2025-11-03</x:v>
      </x:c>
      <x:c r="E1106" t="str">
        <x:v>2025-11-03</x:v>
      </x:c>
      <x:c r="F1106" t="str">
        <x:v>U400-DEETHANIZER-500</x:v>
      </x:c>
      <x:c r="G1106" t="str">
        <x:v>TT-503</x:v>
      </x:c>
      <x:c r="H1106" t="str">
        <x:v>reboiler outlet temperature tx</x:v>
      </x:c>
      <x:c r="I1106" t="str">
        <x:v>instrument</x:v>
      </x:c>
      <x:c r="J1106" t="str">
        <x:v>P4</x:v>
      </x:c>
      <x:c r="K1106" t="str">
        <x:v>CLSD</x:v>
      </x:c>
      <x:c r="L1106" t="str">
        <x:v>OPS+INST</x:v>
      </x:c>
      <x:c r="M1106" t="str">
        <x:v>reboiler_duty_loss</x:v>
      </x:c>
      <x:c r="N1106" t="str">
        <x:v>loose wire</x:v>
      </x:c>
      <x:c r="O1106" t="str">
        <x:v>SIGNAL</x:v>
      </x:c>
      <x:c r="P1106" t="str">
        <x:v>ELEC</x:v>
      </x:c>
      <x:c r="Q1106" t="str">
        <x:v>N</x:v>
      </x:c>
      <x:c r="R1106" t="str">
        <x:v>15.9</x:v>
      </x:c>
      <x:c r="S1106" t="str">
        <x:v>6535.8</x:v>
      </x:c>
      <x:c r="T1106" t="str">
        <x:v>TT-503 not ok after reboiler duty loss</x:v>
      </x:c>
      <x:c r="U1106" t="str">
        <x:v>night called for TT-503 reboiler outlet temperature tx, steam/hm valve no resp seen during reboiler duty loss. Foud loose wire; term loose. opened strainer, cleaned black sludge. temp repair only, plan shutdown job. notif made by ops, maint attended same shift.</x:v>
      </x:c>
    </x:row>
    <x:row r="1107" ht="15" hidden="0" customHeight="1">
      <x:c r="A1107" t="str">
        <x:v>10451106</x:v>
      </x:c>
      <x:c r="B1107" t="str">
        <x:v>40871106</x:v>
      </x:c>
      <x:c r="C1107" t="str">
        <x:v>2025-11-05</x:v>
      </x:c>
      <x:c r="D1107" t="str">
        <x:v>2025-11-05</x:v>
      </x:c>
      <x:c r="E1107" t="str">
        <x:v>2025-11-12</x:v>
      </x:c>
      <x:c r="F1107" t="str">
        <x:v>U400-DEETHANIZER-500</x:v>
      </x:c>
      <x:c r="G1107" t="str">
        <x:v>T-501</x:v>
      </x:c>
      <x:c r="H1107" t="str">
        <x:v>deethanizer column</x:v>
      </x:c>
      <x:c r="I1107" t="str">
        <x:v>column</x:v>
      </x:c>
      <x:c r="J1107" t="str">
        <x:v>P4</x:v>
      </x:c>
      <x:c r="K1107" t="str">
        <x:v>COMP</x:v>
      </x:c>
      <x:c r="L1107" t="str">
        <x:v>ROT</x:v>
      </x:c>
      <x:c r="M1107" t="str">
        <x:v>feed_composition_shift</x:v>
      </x:c>
      <x:c r="N1107" t="str">
        <x:v>weeping flange</x:v>
      </x:c>
      <x:c r="O1107" t="str">
        <x:v>LEAK</x:v>
      </x:c>
      <x:c r="P1107" t="str">
        <x:v>GASKET</x:v>
      </x:c>
      <x:c r="Q1107" t="str">
        <x:v>N</x:v>
      </x:c>
      <x:c r="R1107" t="str">
        <x:v>6.5</x:v>
      </x:c>
      <x:c r="S1107" t="str">
        <x:v>6194.68</x:v>
      </x:c>
      <x:c r="T1107" t="str">
        <x:v>T-501 not ok after feed composition shift</x:v>
      </x:c>
      <x:c r="U1107" t="str">
        <x:v>night called for T-501 deethanizer column, btm heavy seen during feed composition shift. Foud weeping flange; manway/flange seep. Could not get permit first time waiting area gas test. opened strainer, cleaned black sludge. unit stable now. notif made by ops, maint attended same shift.</x:v>
      </x:c>
    </x:row>
    <x:row r="1108" ht="15" hidden="0" customHeight="1">
      <x:c r="A1108" t="str">
        <x:v>10451107</x:v>
      </x:c>
      <x:c r="B1108" t="str">
        <x:v>40871107</x:v>
      </x:c>
      <x:c r="C1108" t="str">
        <x:v>2025-11-06</x:v>
      </x:c>
      <x:c r="D1108" t="str">
        <x:v>2025-11-07</x:v>
      </x:c>
      <x:c r="E1108" t="str">
        <x:v>2025-11-07</x:v>
      </x:c>
      <x:c r="F1108" t="str">
        <x:v>U400-DEETHANIZER-500</x:v>
      </x:c>
      <x:c r="G1108" t="str">
        <x:v>FV-502</x:v>
      </x:c>
      <x:c r="H1108" t="str">
        <x:v>reflux flow control valve</x:v>
      </x:c>
      <x:c r="I1108" t="str">
        <x:v>control_valve</x:v>
      </x:c>
      <x:c r="J1108" t="str">
        <x:v>P2</x:v>
      </x:c>
      <x:c r="K1108" t="str">
        <x:v>TECO</x:v>
      </x:c>
      <x:c r="L1108" t="str">
        <x:v>VALVE</x:v>
      </x:c>
      <x:c r="M1108" t="str">
        <x:v>reboiler_duty_loss</x:v>
      </x:c>
      <x:c r="N1108" t="str">
        <x:v>not stroking</x:v>
      </x:c>
      <x:c r="O1108" t="str">
        <x:v>NO_TRAVEL</x:v>
      </x:c>
      <x:c r="P1108" t="str">
        <x:v>ACT</x:v>
      </x:c>
      <x:c r="Q1108" t="str">
        <x:v>N</x:v>
      </x:c>
      <x:c r="R1108" t="str">
        <x:v>6.7</x:v>
      </x:c>
      <x:c r="S1108" t="str">
        <x:v>4517.23</x:v>
      </x:c>
      <x:c r="T1108" t="str">
        <x:v>FV-502 not stroking noisy</x:v>
      </x:c>
      <x:c r="U1108" t="str">
        <x:v>days called for FV-502 reflux flow ctrl valve, c2 in btm seen during reboiler duty loss. Foud not stroking; actuator weak. cleaned and put back online. still little hunting but acceptable. notif made by ops, maint attended same shift.</x:v>
      </x:c>
    </x:row>
    <x:row r="1109" ht="15" hidden="0" customHeight="1">
      <x:c r="A1109" t="str">
        <x:v>10451108</x:v>
      </x:c>
      <x:c r="B1109" t="str">
        <x:v>40871108</x:v>
      </x:c>
      <x:c r="C1109" t="str">
        <x:v>2025-11-03</x:v>
      </x:c>
      <x:c r="D1109" t="str">
        <x:v>2025-11-03</x:v>
      </x:c>
      <x:c r="E1109" t="str">
        <x:v>2025-11-04</x:v>
      </x:c>
      <x:c r="F1109" t="str">
        <x:v>U400-DEETHANIZER-500</x:v>
      </x:c>
      <x:c r="G1109" t="str">
        <x:v>FT-501</x:v>
      </x:c>
      <x:c r="H1109" t="str">
        <x:v>feed flow transmitter</x:v>
      </x:c>
      <x:c r="I1109" t="str">
        <x:v>instrument</x:v>
      </x:c>
      <x:c r="J1109" t="str">
        <x:v>P3</x:v>
      </x:c>
      <x:c r="K1109" t="str">
        <x:v>CLSD</x:v>
      </x:c>
      <x:c r="L1109" t="str">
        <x:v>OPS+INST</x:v>
      </x:c>
      <x:c r="M1109" t="str">
        <x:v>pressure_control_fault</x:v>
      </x:c>
      <x:c r="N1109" t="str">
        <x:v>loose wire</x:v>
      </x:c>
      <x:c r="O1109" t="str">
        <x:v>SIGNAL</x:v>
      </x:c>
      <x:c r="P1109" t="str">
        <x:v>ELEC</x:v>
      </x:c>
      <x:c r="Q1109" t="str">
        <x:v>N</x:v>
      </x:c>
      <x:c r="R1109" t="str">
        <x:v>5.7</x:v>
      </x:c>
      <x:c r="S1109" t="str">
        <x:v>2041.74</x:v>
      </x:c>
      <x:c r="T1109" t="str">
        <x:v>FT-501 not ok after press control fault</x:v>
      </x:c>
      <x:c r="U1109" t="str">
        <x:v>B shift called for FT-501 feed flow transmitter, pv not movng seen during press control fault. Foud loose wire; term loose. reset trip and monitored for 2 hrs. readng close to dcs after job. notif made by ops, maint attended same shift.</x:v>
      </x:c>
    </x:row>
    <x:row r="1110" ht="15" hidden="0" customHeight="1">
      <x:c r="A1110" t="str">
        <x:v>10451109</x:v>
      </x:c>
      <x:c r="B1110" t="str">
        <x:v>40871109</x:v>
      </x:c>
      <x:c r="C1110" t="str">
        <x:v>2025-11-05</x:v>
      </x:c>
      <x:c r="D1110" t="str">
        <x:v>2025-11-07</x:v>
      </x:c>
      <x:c r="E1110" t="str">
        <x:v>2025-11-08</x:v>
      </x:c>
      <x:c r="F1110" t="str">
        <x:v>U400-DEETHANIZER-500</x:v>
      </x:c>
      <x:c r="G1110" t="str">
        <x:v>TT-501B</x:v>
      </x:c>
      <x:c r="H1110" t="str">
        <x:v>sensitive tray temperature tx</x:v>
      </x:c>
      <x:c r="I1110" t="str">
        <x:v>instrument</x:v>
      </x:c>
      <x:c r="J1110" t="str">
        <x:v>P2</x:v>
      </x:c>
      <x:c r="K1110" t="str">
        <x:v>TECO</x:v>
      </x:c>
      <x:c r="L1110" t="str">
        <x:v>ANLYZR</x:v>
      </x:c>
      <x:c r="M1110" t="str">
        <x:v>feed_temperature_ramp</x:v>
      </x:c>
      <x:c r="N1110" t="str">
        <x:v>loose wire</x:v>
      </x:c>
      <x:c r="O1110" t="str">
        <x:v>SIGNAL</x:v>
      </x:c>
      <x:c r="P1110" t="str">
        <x:v>ELEC</x:v>
      </x:c>
      <x:c r="Q1110" t="str">
        <x:v>N</x:v>
      </x:c>
      <x:c r="R1110" t="str">
        <x:v>3.6</x:v>
      </x:c>
      <x:c r="S1110" t="str">
        <x:v>4391.8</x:v>
      </x:c>
      <x:c r="T1110" t="str">
        <x:v>TT-501B ovhd press moving, loose wire</x:v>
      </x:c>
      <x:c r="U1110" t="str">
        <x:v>A shift called for TT-501B sensitive tray temperature tx, ovhd press moving seen during feed temperature ramp. Foud loose wire; term loose. replaced positioner tubing and retuned small. still little hunting but acceptable. notif made by ops, maint attended same shift.</x:v>
      </x:c>
    </x:row>
    <x:row r="1111" ht="15" hidden="0" customHeight="1">
      <x:c r="A1111" t="str">
        <x:v>10451110</x:v>
      </x:c>
      <x:c r="B1111" t="str">
        <x:v>40871110</x:v>
      </x:c>
      <x:c r="C1111" t="str">
        <x:v>2025-11-08</x:v>
      </x:c>
      <x:c r="D1111" t="str">
        <x:v>2025-11-09</x:v>
      </x:c>
      <x:c r="E1111" t="str">
        <x:v>2025-11-11</x:v>
      </x:c>
      <x:c r="F1111" t="str">
        <x:v>U400-DEETHANIZER-500</x:v>
      </x:c>
      <x:c r="G1111" t="str">
        <x:v>P-501B</x:v>
      </x:c>
      <x:c r="H1111" t="str">
        <x:v>reflux pump B</x:v>
      </x:c>
      <x:c r="I1111" t="str">
        <x:v>pump</x:v>
      </x:c>
      <x:c r="J1111" t="str">
        <x:v>P2</x:v>
      </x:c>
      <x:c r="K1111" t="str">
        <x:v>CLSD</x:v>
      </x:c>
      <x:c r="L1111" t="str">
        <x:v>OPS+INST</x:v>
      </x:c>
      <x:c r="M1111" t="str">
        <x:v>reflux_pump_degradation</x:v>
      </x:c>
      <x:c r="N1111" t="str">
        <x:v>low disch press</x:v>
      </x:c>
      <x:c r="O1111" t="str">
        <x:v>HYD_LOSS</x:v>
      </x:c>
      <x:c r="P1111" t="str">
        <x:v>FOUL</x:v>
      </x:c>
      <x:c r="Q1111" t="str">
        <x:v>Y</x:v>
      </x:c>
      <x:c r="R1111" t="str">
        <x:v>19.0</x:v>
      </x:c>
      <x:c r="S1111" t="str">
        <x:v>6808.87</x:v>
      </x:c>
      <x:c r="T1111" t="str">
        <x:v>P-501B not ok after reflux pump degradation</x:v>
      </x:c>
      <x:c r="U1111" t="str">
        <x:v>A shift called for P-501B reflux pump B, pump vib seen during reflux pump degradation. Foud low disch press; strainer dirty or impeller wear. Tag plate dirty, confirmd by line up with panel. tightened fittings, leak test ok. no leak at handover. notif made by ops, maint attended same shift.</x:v>
      </x:c>
    </x:row>
    <x:row r="1112" ht="15" hidden="0" customHeight="1">
      <x:c r="A1112" t="str">
        <x:v>10451111</x:v>
      </x:c>
      <x:c r="B1112" t="str">
        <x:v>40871111</x:v>
      </x:c>
      <x:c r="C1112" t="str">
        <x:v>2025-11-10</x:v>
      </x:c>
      <x:c r="D1112" t="str">
        <x:v>2025-11-10</x:v>
      </x:c>
      <x:c r="E1112" t="str">
        <x:v>2025-11-10</x:v>
      </x:c>
      <x:c r="F1112" t="str">
        <x:v>U400-DEETHANIZER-500</x:v>
      </x:c>
      <x:c r="G1112" t="str">
        <x:v>PSV-501A</x:v>
      </x:c>
      <x:c r="H1112" t="str">
        <x:v>column relief valve A</x:v>
      </x:c>
      <x:c r="I1112" t="str">
        <x:v>relief</x:v>
      </x:c>
      <x:c r="J1112" t="str">
        <x:v>P3</x:v>
      </x:c>
      <x:c r="K1112" t="str">
        <x:v>COMP</x:v>
      </x:c>
      <x:c r="L1112" t="str">
        <x:v>MECH</x:v>
      </x:c>
      <x:c r="M1112" t="str">
        <x:v>pressure_control_fault</x:v>
      </x:c>
      <x:c r="N1112" t="str">
        <x:v>due to lift chk</x:v>
      </x:c>
      <x:c r="O1112" t="str">
        <x:v>LIFT_EVENT</x:v>
      </x:c>
      <x:c r="P1112" t="str">
        <x:v>PROCESS</x:v>
      </x:c>
      <x:c r="Q1112" t="str">
        <x:v>N</x:v>
      </x:c>
      <x:c r="R1112" t="str">
        <x:v>8.0</x:v>
      </x:c>
      <x:c r="S1112" t="str">
        <x:v>3095.61</x:v>
      </x:c>
      <x:c r="T1112" t="str">
        <x:v>chk PSV-501A - due to lift chk frm ops</x:v>
      </x:c>
      <x:c r="U1112" t="str">
        <x:v>night called for PSV-501A column relief valve A, pv not movng seen during pressure control fault. Foud due to lift chk; after pressure excursion. No spare in store at first, used refurb one from shop. flushed impulse/sample line. unit stable now. notif made by ops, maint attended same shift.</x:v>
      </x:c>
    </x:row>
    <x:row r="1113" ht="15" hidden="0" customHeight="1">
      <x:c r="A1113" t="str">
        <x:v>10451112</x:v>
      </x:c>
      <x:c r="B1113" t="str">
        <x:v>40871112</x:v>
      </x:c>
      <x:c r="C1113" t="str">
        <x:v>2025-11-13</x:v>
      </x:c>
      <x:c r="D1113" t="str">
        <x:v>2025-11-13</x:v>
      </x:c>
      <x:c r="E1113" t="str">
        <x:v>2025-11-14</x:v>
      </x:c>
      <x:c r="F1113" t="str">
        <x:v>U400-DEETHANIZER-500</x:v>
      </x:c>
      <x:c r="G1113" t="str">
        <x:v>FV-502</x:v>
      </x:c>
      <x:c r="H1113" t="str">
        <x:v>reflux flow control valve</x:v>
      </x:c>
      <x:c r="I1113" t="str">
        <x:v>control_valve</x:v>
      </x:c>
      <x:c r="J1113" t="str">
        <x:v>P3</x:v>
      </x:c>
      <x:c r="K1113" t="str">
        <x:v>COMP</x:v>
      </x:c>
      <x:c r="L1113" t="str">
        <x:v>ANLYZR</x:v>
      </x:c>
      <x:c r="M1113" t="str">
        <x:v>reflux_pump_degradation</x:v>
      </x:c>
      <x:c r="N1113" t="str">
        <x:v>passing</x:v>
      </x:c>
      <x:c r="O1113" t="str">
        <x:v>LEAK_BY</x:v>
      </x:c>
      <x:c r="P1113" t="str">
        <x:v>SEAT</x:v>
      </x:c>
      <x:c r="Q1113" t="str">
        <x:v>N</x:v>
      </x:c>
      <x:c r="R1113" t="str">
        <x:v>4.4</x:v>
      </x:c>
      <x:c r="S1113" t="str">
        <x:v>594.06</x:v>
      </x:c>
      <x:c r="T1113" t="str">
        <x:v>FV-502 passing asap</x:v>
      </x:c>
      <x:c r="U1113" t="str">
        <x:v>C shift called for FV-502 reflux flow control valve, pump vib seen during reflux pump degradation. Foud passing; seat leak by. History shows same complain last mnth. calibrated, loop checked with CCR. readng close to dcs after job. notif made by ops, maint attended same shift.</x:v>
      </x:c>
    </x:row>
    <x:row r="1114" ht="15" hidden="0" customHeight="1">
      <x:c r="A1114" t="str">
        <x:v>10451113</x:v>
      </x:c>
      <x:c r="B1114" t="str">
        <x:v>40871113</x:v>
      </x:c>
      <x:c r="C1114" t="str">
        <x:v>2025-11-14</x:v>
      </x:c>
      <x:c r="D1114" t="str">
        <x:v>2025-11-15</x:v>
      </x:c>
      <x:c r="E1114" t="str">
        <x:v>2025-11-16</x:v>
      </x:c>
      <x:c r="F1114" t="str">
        <x:v>U400-DEETHANIZER-500</x:v>
      </x:c>
      <x:c r="G1114" t="str">
        <x:v>E-501</x:v>
      </x:c>
      <x:c r="H1114" t="str">
        <x:v>deethanizer reboiler</x:v>
      </x:c>
      <x:c r="I1114" t="str">
        <x:v>reboiler</x:v>
      </x:c>
      <x:c r="J1114" t="str">
        <x:v>P2</x:v>
      </x:c>
      <x:c r="K1114" t="str">
        <x:v>TECO</x:v>
      </x:c>
      <x:c r="L1114" t="str">
        <x:v>OPS+INST</x:v>
      </x:c>
      <x:c r="M1114" t="str">
        <x:v>valve_stiction</x:v>
      </x:c>
      <x:c r="N1114" t="str">
        <x:v>low duty</x:v>
      </x:c>
      <x:c r="O1114" t="str">
        <x:v>DUTY_LOSS</x:v>
      </x:c>
      <x:c r="P1114" t="str">
        <x:v>UTILITY</x:v>
      </x:c>
      <x:c r="Q1114" t="str">
        <x:v>N</x:v>
      </x:c>
      <x:c r="R1114" t="str">
        <x:v>16.1</x:v>
      </x:c>
      <x:c r="S1114" t="str">
        <x:v>2063.24</x:v>
      </x:c>
      <x:c r="T1114" t="str">
        <x:v>chk E-501 - low duty frm ops</x:v>
      </x:c>
      <x:c r="U1114" t="str">
        <x:v>C shift called for E-501 deethanizer reboiler, position bad seen during valve stiction. Foud low duty; hm valve/strainer issue. flushed impulse/sample line. temp repair only, plan shutdown job. notif made by ops, maint attended same shift.</x:v>
      </x:c>
    </x:row>
    <x:row r="1115" ht="15" hidden="0" customHeight="1">
      <x:c r="A1115" t="str">
        <x:v>10451114</x:v>
      </x:c>
      <x:c r="B1115" t="str">
        <x:v>40871114</x:v>
      </x:c>
      <x:c r="C1115" t="str">
        <x:v>2025-11-13</x:v>
      </x:c>
      <x:c r="D1115" t="str">
        <x:v>2025-11-13</x:v>
      </x:c>
      <x:c r="E1115" t="str">
        <x:v>2025-11-14</x:v>
      </x:c>
      <x:c r="F1115" t="str">
        <x:v>U400-DEETHANIZER-500</x:v>
      </x:c>
      <x:c r="G1115" t="str">
        <x:v>TV-501</x:v>
      </x:c>
      <x:c r="H1115" t="str">
        <x:v>reboiler hot medium valve</x:v>
      </x:c>
      <x:c r="I1115" t="str">
        <x:v>control_valve</x:v>
      </x:c>
      <x:c r="J1115" t="str">
        <x:v>P2</x:v>
      </x:c>
      <x:c r="K1115" t="str">
        <x:v>COMP</x:v>
      </x:c>
      <x:c r="L1115" t="str">
        <x:v>OPS+MECH</x:v>
      </x:c>
      <x:c r="M1115" t="str">
        <x:v>reboiler_duty_loss</x:v>
      </x:c>
      <x:c r="N1115" t="str">
        <x:v>not stroking</x:v>
      </x:c>
      <x:c r="O1115" t="str">
        <x:v>NO_TRAVEL</x:v>
      </x:c>
      <x:c r="P1115" t="str">
        <x:v>ACT</x:v>
      </x:c>
      <x:c r="Q1115" t="str">
        <x:v>N</x:v>
      </x:c>
      <x:c r="R1115" t="str">
        <x:v>4.7</x:v>
      </x:c>
      <x:c r="S1115" t="str">
        <x:v>1213.22</x:v>
      </x:c>
      <x:c r="T1115" t="str">
        <x:v>chk TV-501 - not stroking frm ops</x:v>
      </x:c>
      <x:c r="U1115" t="str">
        <x:v>C shift called for TV-501 rebiler hot medium valve, steam/hm valve no resp seen during rebiler duty loss. Foud not stroking; actuator weak. flushed impulse/sample line. need watch next feed swing. notif made by ops, maint attended same shift.</x:v>
      </x:c>
    </x:row>
    <x:row r="1116" ht="15" hidden="0" customHeight="1">
      <x:c r="A1116" t="str">
        <x:v>10451115</x:v>
      </x:c>
      <x:c r="B1116" t="str">
        <x:v>40871115</x:v>
      </x:c>
      <x:c r="C1116" t="str">
        <x:v>2025-11-14</x:v>
      </x:c>
      <x:c r="D1116" t="str">
        <x:v>2025-11-15</x:v>
      </x:c>
      <x:c r="E1116" t="str">
        <x:v>2025-11-16</x:v>
      </x:c>
      <x:c r="F1116" t="str">
        <x:v>U400-DEETHANIZER-500</x:v>
      </x:c>
      <x:c r="G1116" t="str">
        <x:v>PSV-501B</x:v>
      </x:c>
      <x:c r="H1116" t="str">
        <x:v>column relief valve B</x:v>
      </x:c>
      <x:c r="I1116" t="str">
        <x:v>relief</x:v>
      </x:c>
      <x:c r="J1116" t="str">
        <x:v>P2</x:v>
      </x:c>
      <x:c r="K1116" t="str">
        <x:v>TECO</x:v>
      </x:c>
      <x:c r="L1116" t="str">
        <x:v>OPS+MECH</x:v>
      </x:c>
      <x:c r="M1116" t="str">
        <x:v>pressure_control_fault</x:v>
      </x:c>
      <x:c r="N1116" t="str">
        <x:v>car seal broken</x:v>
      </x:c>
      <x:c r="O1116" t="str">
        <x:v>CSO</x:v>
      </x:c>
      <x:c r="P1116" t="str">
        <x:v>HUMAN</x:v>
      </x:c>
      <x:c r="Q1116" t="str">
        <x:v>N</x:v>
      </x:c>
      <x:c r="R1116" t="str">
        <x:v>8.6</x:v>
      </x:c>
      <x:c r="S1116" t="str">
        <x:v>6175.34</x:v>
      </x:c>
      <x:c r="T1116" t="str">
        <x:v>PSV-501B flare valve chekd, car seal broken</x:v>
      </x:c>
      <x:c r="U1116" t="str">
        <x:v>A shift called for PSV-501B column relief vavle B, pv not movng seen during pressure control fault. Foud car seal broken; seal missing found. flushed impulse/sample line. need watch next feed swing. notif made by ops, maint attended same shift.</x:v>
      </x:c>
    </x:row>
    <x:row r="1117" ht="15" hidden="0" customHeight="1">
      <x:c r="A1117" t="str">
        <x:v>10451116</x:v>
      </x:c>
      <x:c r="B1117" t="str">
        <x:v>40871116</x:v>
      </x:c>
      <x:c r="C1117" t="str">
        <x:v>2025-11-18</x:v>
      </x:c>
      <x:c r="D1117" t="str">
        <x:v>2025-11-18</x:v>
      </x:c>
      <x:c r="E1117" t="str">
        <x:v>2025-11-18</x:v>
      </x:c>
      <x:c r="F1117" t="str">
        <x:v>U400-DEETHANIZER-500</x:v>
      </x:c>
      <x:c r="G1117" t="str">
        <x:v>TV-501</x:v>
      </x:c>
      <x:c r="H1117" t="str">
        <x:v>reboiler hot medium valve</x:v>
      </x:c>
      <x:c r="I1117" t="str">
        <x:v>control_valve</x:v>
      </x:c>
      <x:c r="J1117" t="str">
        <x:v>P2</x:v>
      </x:c>
      <x:c r="K1117" t="str">
        <x:v>TECO</x:v>
      </x:c>
      <x:c r="L1117" t="str">
        <x:v>MECH</x:v>
      </x:c>
      <x:c r="M1117" t="str">
        <x:v>feed_temperature_ramp</x:v>
      </x:c>
      <x:c r="N1117" t="str">
        <x:v>air leak</x:v>
      </x:c>
      <x:c r="O1117" t="str">
        <x:v>AIR_LEAK</x:v>
      </x:c>
      <x:c r="P1117" t="str">
        <x:v>TUBING</x:v>
      </x:c>
      <x:c r="Q1117" t="str">
        <x:v>Y</x:v>
      </x:c>
      <x:c r="R1117" t="str">
        <x:v>11.3</x:v>
      </x:c>
      <x:c r="S1117" t="str">
        <x:v>3521.84</x:v>
      </x:c>
      <x:c r="T1117" t="str">
        <x:v>TV-501 not ok after feed temperature ramp</x:v>
      </x:c>
      <x:c r="U1117" t="str">
        <x:v>B shift called for TV-501 reboiler hot medium valve, rb duty up seen during feed temperature ramp. Foud air leak; positioner supply drop. replaced positioner tubing and retuned small. temp repair only, plan shutdown job. notif made by ops, maint attended same shift.</x:v>
      </x:c>
    </x:row>
    <x:row r="1118" ht="15" hidden="0" customHeight="1">
      <x:c r="A1118" t="str">
        <x:v>10451117</x:v>
      </x:c>
      <x:c r="B1118" t="str">
        <x:v>40871117</x:v>
      </x:c>
      <x:c r="C1118" t="str">
        <x:v>2025-11-16</x:v>
      </x:c>
      <x:c r="D1118" t="str">
        <x:v>2025-11-17</x:v>
      </x:c>
      <x:c r="E1118" t="str">
        <x:v>2025-11-20</x:v>
      </x:c>
      <x:c r="F1118" t="str">
        <x:v>U400-DEETHANIZER-500</x:v>
      </x:c>
      <x:c r="G1118" t="str">
        <x:v>P-502A</x:v>
      </x:c>
      <x:c r="H1118" t="str">
        <x:v>bottoms pump A</x:v>
      </x:c>
      <x:c r="I1118" t="str">
        <x:v>pump</x:v>
      </x:c>
      <x:c r="J1118" t="str">
        <x:v>P2</x:v>
      </x:c>
      <x:c r="K1118" t="str">
        <x:v>TECO</x:v>
      </x:c>
      <x:c r="L1118" t="str">
        <x:v>OPS+MECH</x:v>
      </x:c>
      <x:c r="M1118" t="str">
        <x:v>pressure_control_fault</x:v>
      </x:c>
      <x:c r="N1118" t="str">
        <x:v>seal leak</x:v>
      </x:c>
      <x:c r="O1118" t="str">
        <x:v>MECH_SEAL</x:v>
      </x:c>
      <x:c r="P1118" t="str">
        <x:v>SEAL</x:v>
      </x:c>
      <x:c r="Q1118" t="str">
        <x:v>Y</x:v>
      </x:c>
      <x:c r="R1118" t="str">
        <x:v>8.9</x:v>
      </x:c>
      <x:c r="S1118" t="str">
        <x:v>2273.67</x:v>
      </x:c>
      <x:c r="T1118" t="str">
        <x:v>P-502A not ok after pressure control fault</x:v>
      </x:c>
      <x:c r="U1118" t="str">
        <x:v>A shift called for P-502A bottoms pump A, pshh close call seen during pressure control fault. Foud seal leak; seal face worn / dry run signs. No spare in store at first, used refurb one from shop. swapped to standby and repaired. temp repair only, plan shutdown job. notif made by ops, maint attended same shift.</x:v>
      </x:c>
    </x:row>
    <x:row r="1119" ht="15" hidden="0" customHeight="1">
      <x:c r="A1119" t="str">
        <x:v>10451118</x:v>
      </x:c>
      <x:c r="B1119" t="str">
        <x:v>40871118</x:v>
      </x:c>
      <x:c r="C1119" t="str">
        <x:v>2025-11-21</x:v>
      </x:c>
      <x:c r="D1119" t="str">
        <x:v>2025-11-21</x:v>
      </x:c>
      <x:c r="E1119" t="str">
        <x:v>2025-11-23</x:v>
      </x:c>
      <x:c r="F1119" t="str">
        <x:v>U400-DEETHANIZER-500</x:v>
      </x:c>
      <x:c r="G1119" t="str">
        <x:v>PV-501</x:v>
      </x:c>
      <x:c r="H1119" t="str">
        <x:v>column pressure control valve</x:v>
      </x:c>
      <x:c r="I1119" t="str">
        <x:v>control_valve</x:v>
      </x:c>
      <x:c r="J1119" t="str">
        <x:v>P3</x:v>
      </x:c>
      <x:c r="K1119" t="str">
        <x:v>CLSD</x:v>
      </x:c>
      <x:c r="L1119" t="str">
        <x:v>E&amp;I</x:v>
      </x:c>
      <x:c r="M1119" t="str">
        <x:v>pressure_control_fault</x:v>
      </x:c>
      <x:c r="N1119" t="str">
        <x:v>not stroking</x:v>
      </x:c>
      <x:c r="O1119" t="str">
        <x:v>NO_TRAVEL</x:v>
      </x:c>
      <x:c r="P1119" t="str">
        <x:v>ACT</x:v>
      </x:c>
      <x:c r="Q1119" t="str">
        <x:v>N</x:v>
      </x:c>
      <x:c r="R1119" t="str">
        <x:v>6.7</x:v>
      </x:c>
      <x:c r="S1119" t="str">
        <x:v>1361.96</x:v>
      </x:c>
      <x:c r="T1119" t="str">
        <x:v>PV-501 not ok after pressure control fault</x:v>
      </x:c>
      <x:c r="U1119" t="str">
        <x:v>B shift called for PV-501 column pressure control valve, flare valve chekd seen during pressure control fault. Foud not stroking; actuator weak. reset trip and monitored for 2 hrs. need watch next feed swing. notif made by ops, maint attended same shift.</x:v>
      </x:c>
    </x:row>
    <x:row r="1120" ht="15" hidden="0" customHeight="1">
      <x:c r="A1120" t="str">
        <x:v>10451119</x:v>
      </x:c>
      <x:c r="B1120" t="str">
        <x:v>40871119</x:v>
      </x:c>
      <x:c r="C1120" t="str">
        <x:v>2025-11-20</x:v>
      </x:c>
      <x:c r="D1120" t="str">
        <x:v>2025-11-22</x:v>
      </x:c>
      <x:c r="E1120" t="str">
        <x:v>2025-11-22</x:v>
      </x:c>
      <x:c r="F1120" t="str">
        <x:v>U400-DEETHANIZER-500</x:v>
      </x:c>
      <x:c r="G1120" t="str">
        <x:v>P-501B</x:v>
      </x:c>
      <x:c r="H1120" t="str">
        <x:v>reflux pump B</x:v>
      </x:c>
      <x:c r="I1120" t="str">
        <x:v>pump</x:v>
      </x:c>
      <x:c r="J1120" t="str">
        <x:v>P3</x:v>
      </x:c>
      <x:c r="K1120" t="str">
        <x:v>TECO</x:v>
      </x:c>
      <x:c r="L1120" t="str">
        <x:v>E&amp;I</x:v>
      </x:c>
      <x:c r="M1120" t="str">
        <x:v>normal_wear</x:v>
      </x:c>
      <x:c r="N1120" t="str">
        <x:v>vib high</x:v>
      </x:c>
      <x:c r="O1120" t="str">
        <x:v>VIB</x:v>
      </x:c>
      <x:c r="P1120" t="str">
        <x:v>ALIGN</x:v>
      </x:c>
      <x:c r="Q1120" t="str">
        <x:v>N</x:v>
      </x:c>
      <x:c r="R1120" t="str">
        <x:v>3.1</x:v>
      </x:c>
      <x:c r="S1120" t="str">
        <x:v>16214.53</x:v>
      </x:c>
      <x:c r="T1120" t="str">
        <x:v>P-501B vib high after upset</x:v>
      </x:c>
      <x:c r="U1120" t="str">
        <x:v>night called for P-501B reflux pump B, leak seen during normal wear. Foud vib high; coupling align or cavitation. stroke tested, response better. no leak at handover. notif made by ops, maint attended same shift.</x:v>
      </x:c>
    </x:row>
    <x:row r="1121" ht="15" hidden="0" customHeight="1">
      <x:c r="A1121" t="str">
        <x:v>10451120</x:v>
      </x:c>
      <x:c r="B1121" t="str">
        <x:v>40871120</x:v>
      </x:c>
      <x:c r="C1121" t="str">
        <x:v>2025-11-20</x:v>
      </x:c>
      <x:c r="D1121" t="str">
        <x:v>2025-11-21</x:v>
      </x:c>
      <x:c r="E1121" t="str">
        <x:v>2025-11-21</x:v>
      </x:c>
      <x:c r="F1121" t="str">
        <x:v>U400-DEETHANIZER-500</x:v>
      </x:c>
      <x:c r="G1121" t="str">
        <x:v>P-501A</x:v>
      </x:c>
      <x:c r="H1121" t="str">
        <x:v>reflux pump A</x:v>
      </x:c>
      <x:c r="I1121" t="str">
        <x:v>pump</x:v>
      </x:c>
      <x:c r="J1121" t="str">
        <x:v>P2</x:v>
      </x:c>
      <x:c r="K1121" t="str">
        <x:v>CLSD</x:v>
      </x:c>
      <x:c r="L1121" t="str">
        <x:v>OPS+MECH</x:v>
      </x:c>
      <x:c r="M1121" t="str">
        <x:v>normal_wear</x:v>
      </x:c>
      <x:c r="N1121" t="str">
        <x:v>low disch press</x:v>
      </x:c>
      <x:c r="O1121" t="str">
        <x:v>HYD_LOSS</x:v>
      </x:c>
      <x:c r="P1121" t="str">
        <x:v>FOUL</x:v>
      </x:c>
      <x:c r="Q1121" t="str">
        <x:v>Y</x:v>
      </x:c>
      <x:c r="R1121" t="str">
        <x:v>20.6</x:v>
      </x:c>
      <x:c r="S1121" t="str">
        <x:v>14312.4</x:v>
      </x:c>
      <x:c r="T1121" t="str">
        <x:v>chk P-501A - low disch press frm ops</x:v>
      </x:c>
      <x:c r="U1121" t="str">
        <x:v>B shift called for P-501A reflux pump A, plugged impulse seen during normal wear. Foud low disch press; strainer dirty or impeller wear. opened strainer, cleaned black sludge. ops says ok for now. notif made by ops, maint attended same shift.</x:v>
      </x:c>
    </x:row>
    <x:row r="1122" ht="15" hidden="0" customHeight="1">
      <x:c r="A1122" t="str">
        <x:v>10451121</x:v>
      </x:c>
      <x:c r="B1122" t="str">
        <x:v>40871121</x:v>
      </x:c>
      <x:c r="C1122" t="str">
        <x:v>2025-11-27</x:v>
      </x:c>
      <x:c r="D1122" t="str">
        <x:v>2025-11-29</x:v>
      </x:c>
      <x:c r="E1122" t="str">
        <x:v>2025-11-30</x:v>
      </x:c>
      <x:c r="F1122" t="str">
        <x:v>U400-DEETHANIZER-500</x:v>
      </x:c>
      <x:c r="G1122" t="str">
        <x:v>TV-501</x:v>
      </x:c>
      <x:c r="H1122" t="str">
        <x:v>reboiler hot medium valve</x:v>
      </x:c>
      <x:c r="I1122" t="str">
        <x:v>control_valve</x:v>
      </x:c>
      <x:c r="J1122" t="str">
        <x:v>P2</x:v>
      </x:c>
      <x:c r="K1122" t="str">
        <x:v>CLSD</x:v>
      </x:c>
      <x:c r="L1122" t="str">
        <x:v>INST</x:v>
      </x:c>
      <x:c r="M1122" t="str">
        <x:v>feed_temperature_ramp</x:v>
      </x:c>
      <x:c r="N1122" t="str">
        <x:v>air leak</x:v>
      </x:c>
      <x:c r="O1122" t="str">
        <x:v>AIR_LEAK</x:v>
      </x:c>
      <x:c r="P1122" t="str">
        <x:v>TUBING</x:v>
      </x:c>
      <x:c r="Q1122" t="str">
        <x:v>N</x:v>
      </x:c>
      <x:c r="R1122" t="str">
        <x:v>7.7</x:v>
      </x:c>
      <x:c r="S1122" t="str">
        <x:v>2619.69</x:v>
      </x:c>
      <x:c r="T1122" t="str">
        <x:v>TV-501 not ok after feed temperature ramp</x:v>
      </x:c>
      <x:c r="U1122" t="str">
        <x:v>night called for TV-501 rebiler hot medium valve, tray temp drift seen during feed temperature ramp. Foud air leak; positioner supply drop. Tag plate dirty, confirmd by line up with panel. stroke tested, response better. ops says ok for now. notif made by ops, maint attended same shift.</x:v>
      </x:c>
    </x:row>
    <x:row r="1123" ht="15" hidden="0" customHeight="1">
      <x:c r="A1123" t="str">
        <x:v>10451122</x:v>
      </x:c>
      <x:c r="B1123" t="str">
        <x:v>40871122</x:v>
      </x:c>
      <x:c r="C1123" t="str">
        <x:v>2025-11-23</x:v>
      </x:c>
      <x:c r="D1123" t="str">
        <x:v>2025-11-23</x:v>
      </x:c>
      <x:c r="E1123" t="str">
        <x:v>2025-11-24</x:v>
      </x:c>
      <x:c r="F1123" t="str">
        <x:v>U400-DEETHANIZER-500</x:v>
      </x:c>
      <x:c r="G1123" t="str">
        <x:v>TV-502</x:v>
      </x:c>
      <x:c r="H1123" t="str">
        <x:v>condenser cooling valve</x:v>
      </x:c>
      <x:c r="I1123" t="str">
        <x:v>control_valve</x:v>
      </x:c>
      <x:c r="J1123" t="str">
        <x:v>P4</x:v>
      </x:c>
      <x:c r="K1123" t="str">
        <x:v>COMP</x:v>
      </x:c>
      <x:c r="L1123" t="str">
        <x:v>ROT</x:v>
      </x:c>
      <x:c r="M1123" t="str">
        <x:v>condenser_fouling</x:v>
      </x:c>
      <x:c r="N1123" t="str">
        <x:v>air leak</x:v>
      </x:c>
      <x:c r="O1123" t="str">
        <x:v>AIR_LEAK</x:v>
      </x:c>
      <x:c r="P1123" t="str">
        <x:v>TUBING</x:v>
      </x:c>
      <x:c r="Q1123" t="str">
        <x:v>N</x:v>
      </x:c>
      <x:c r="R1123" t="str">
        <x:v>17.6</x:v>
      </x:c>
      <x:c r="S1123" t="str">
        <x:v>5625.44</x:v>
      </x:c>
      <x:c r="T1123" t="str">
        <x:v>TV-502 cw dt low, air leak</x:v>
      </x:c>
      <x:c r="U1123" t="str">
        <x:v>A shift called for TV-502 condenser cooling valve, high ovhd press seen during condenser fouling. Foud air leak; positioner supply drop. calibrated, loop chekd with CCR. need watch next feed swing. notif made by ops, maint attended same shift.</x:v>
      </x:c>
    </x:row>
    <x:row r="1124" ht="15" hidden="0" customHeight="1">
      <x:c r="A1124" t="str">
        <x:v>10451123</x:v>
      </x:c>
      <x:c r="B1124" t="str">
        <x:v>40871123</x:v>
      </x:c>
      <x:c r="C1124" t="str">
        <x:v>2025-11-27</x:v>
      </x:c>
      <x:c r="D1124" t="str">
        <x:v>2025-11-29</x:v>
      </x:c>
      <x:c r="E1124" t="str">
        <x:v>2025-12-02</x:v>
      </x:c>
      <x:c r="F1124" t="str">
        <x:v>U400-DEETHANIZER-500</x:v>
      </x:c>
      <x:c r="G1124" t="str">
        <x:v>P-501B</x:v>
      </x:c>
      <x:c r="H1124" t="str">
        <x:v>reflux pump B</x:v>
      </x:c>
      <x:c r="I1124" t="str">
        <x:v>pump</x:v>
      </x:c>
      <x:c r="J1124" t="str">
        <x:v>P3</x:v>
      </x:c>
      <x:c r="K1124" t="str">
        <x:v>CLSD</x:v>
      </x:c>
      <x:c r="L1124" t="str">
        <x:v>INST</x:v>
      </x:c>
      <x:c r="M1124" t="str">
        <x:v>reflux_pump_degradation</x:v>
      </x:c>
      <x:c r="N1124" t="str">
        <x:v>bearing hot</x:v>
      </x:c>
      <x:c r="O1124" t="str">
        <x:v>BRG</x:v>
      </x:c>
      <x:c r="P1124" t="str">
        <x:v>WEAR</x:v>
      </x:c>
      <x:c r="Q1124" t="str">
        <x:v>N</x:v>
      </x:c>
      <x:c r="R1124" t="str">
        <x:v>14.4</x:v>
      </x:c>
      <x:c r="S1124" t="str">
        <x:v>448.72</x:v>
      </x:c>
      <x:c r="T1124" t="str">
        <x:v>P-501B bearing hot again, prod upset</x:v>
      </x:c>
      <x:c r="U1124" t="str">
        <x:v>days called for P-501B rflx pump B, seal weep seen during rflx pump degradation. Foud bearing hot; brg rough, lube dark. Tag plate dirty, confirmd by line up with panel. cleaned and put back online. temp repair only, plan shutdown job. notif made by ops, maint attended same shift.</x:v>
      </x:c>
    </x:row>
    <x:row r="1125" ht="15" hidden="0" customHeight="1">
      <x:c r="A1125" t="str">
        <x:v>10451124</x:v>
      </x:c>
      <x:c r="B1125" t="str">
        <x:v>40871124</x:v>
      </x:c>
      <x:c r="C1125" t="str">
        <x:v>2025-11-28</x:v>
      </x:c>
      <x:c r="D1125" t="str">
        <x:v>2025-11-28</x:v>
      </x:c>
      <x:c r="E1125" t="str">
        <x:v>2025-11-28</x:v>
      </x:c>
      <x:c r="F1125" t="str">
        <x:v>U400-DEETHANIZER-500</x:v>
      </x:c>
      <x:c r="G1125" t="str">
        <x:v>E-501</x:v>
      </x:c>
      <x:c r="H1125" t="str">
        <x:v>deethanizer reboiler</x:v>
      </x:c>
      <x:c r="I1125" t="str">
        <x:v>reboiler</x:v>
      </x:c>
      <x:c r="J1125" t="str">
        <x:v>P3</x:v>
      </x:c>
      <x:c r="K1125" t="str">
        <x:v>COMP</x:v>
      </x:c>
      <x:c r="L1125" t="str">
        <x:v>E&amp;I</x:v>
      </x:c>
      <x:c r="M1125" t="str">
        <x:v>reflux_pump_degradation</x:v>
      </x:c>
      <x:c r="N1125" t="str">
        <x:v>rb leak</x:v>
      </x:c>
      <x:c r="O1125" t="str">
        <x:v>LEAK</x:v>
      </x:c>
      <x:c r="P1125" t="str">
        <x:v>GASKET</x:v>
      </x:c>
      <x:c r="Q1125" t="str">
        <x:v>N</x:v>
      </x:c>
      <x:c r="R1125" t="str">
        <x:v>1.4</x:v>
      </x:c>
      <x:c r="S1125" t="str">
        <x:v>13844.19</x:v>
      </x:c>
      <x:c r="T1125" t="str">
        <x:v>E-501 rb leak again, prod upset</x:v>
      </x:c>
      <x:c r="U1125" t="str">
        <x:v>night called for E-501 deethanizer reboiler, pump vib seen during reflux pump degradation. Foud rb leak; channel flange weep. Tag plate dirty, confirmd by line up with panel. swapped to standby and repaired. still little hunting but acceptable. notif made by ops, maint attended same shift.</x:v>
      </x:c>
    </x:row>
    <x:row r="1126" ht="15" hidden="0" customHeight="1">
      <x:c r="A1126" t="str">
        <x:v>10451125</x:v>
      </x:c>
      <x:c r="B1126" t="str">
        <x:v>40871125</x:v>
      </x:c>
      <x:c r="C1126" t="str">
        <x:v>2025-11-30</x:v>
      </x:c>
      <x:c r="D1126" t="str">
        <x:v>2025-12-01</x:v>
      </x:c>
      <x:c r="E1126" t="str">
        <x:v>2025-12-01</x:v>
      </x:c>
      <x:c r="F1126" t="str">
        <x:v>U400-DEETHANIZER-500</x:v>
      </x:c>
      <x:c r="G1126" t="str">
        <x:v>E-502</x:v>
      </x:c>
      <x:c r="H1126" t="str">
        <x:v>deethanizer overhead condenser</x:v>
      </x:c>
      <x:c r="I1126" t="str">
        <x:v>condenser</x:v>
      </x:c>
      <x:c r="J1126" t="str">
        <x:v>P1</x:v>
      </x:c>
      <x:c r="K1126" t="str">
        <x:v>CLSD</x:v>
      </x:c>
      <x:c r="L1126" t="str">
        <x:v>E&amp;I</x:v>
      </x:c>
      <x:c r="M1126" t="str">
        <x:v>pressure_control_fault</x:v>
      </x:c>
      <x:c r="N1126" t="str">
        <x:v>high press</x:v>
      </x:c>
      <x:c r="O1126" t="str">
        <x:v>PERF</x:v>
      </x:c>
      <x:c r="P1126" t="str">
        <x:v>FOUL</x:v>
      </x:c>
      <x:c r="Q1126" t="str">
        <x:v>Y</x:v>
      </x:c>
      <x:c r="R1126" t="str">
        <x:v>10.2</x:v>
      </x:c>
      <x:c r="S1126" t="str">
        <x:v>5025.89</x:v>
      </x:c>
      <x:c r="T1126" t="str">
        <x:v>E-502 high press ops req</x:v>
      </x:c>
      <x:c r="U1126" t="str">
        <x:v>B shift called for E-502 deethanizer overhead condenser, press spike seen during pressure control fault. Foud high press; condensing duty poor. replaced positioner tubing and retuned small. temp repair only, plan shutdown job. notif made by ops, maint attended same shift.</x:v>
      </x:c>
    </x:row>
    <x:row r="1127" ht="15" hidden="0" customHeight="1">
      <x:c r="A1127" t="str">
        <x:v>10451126</x:v>
      </x:c>
      <x:c r="B1127" t="str">
        <x:v>40871126</x:v>
      </x:c>
      <x:c r="C1127" t="str">
        <x:v>2025-11-29</x:v>
      </x:c>
      <x:c r="D1127" t="str">
        <x:v>2025-12-01</x:v>
      </x:c>
      <x:c r="E1127" t="str">
        <x:v>2025-12-03</x:v>
      </x:c>
      <x:c r="F1127" t="str">
        <x:v>U400-DEETHANIZER-500</x:v>
      </x:c>
      <x:c r="G1127" t="str">
        <x:v>E-503</x:v>
      </x:c>
      <x:c r="H1127" t="str">
        <x:v>feed bottoms exchanger</x:v>
      </x:c>
      <x:c r="I1127" t="str">
        <x:v>exchanger</x:v>
      </x:c>
      <x:c r="J1127" t="str">
        <x:v>P3</x:v>
      </x:c>
      <x:c r="K1127" t="str">
        <x:v>COMP</x:v>
      </x:c>
      <x:c r="L1127" t="str">
        <x:v>ANLYZR</x:v>
      </x:c>
      <x:c r="M1127" t="str">
        <x:v>feed_temperature_ramp</x:v>
      </x:c>
      <x:c r="N1127" t="str">
        <x:v>plugged pass</x:v>
      </x:c>
      <x:c r="O1127" t="str">
        <x:v>PLUG</x:v>
      </x:c>
      <x:c r="P1127" t="str">
        <x:v>FOUL</x:v>
      </x:c>
      <x:c r="Q1127" t="str">
        <x:v>N</x:v>
      </x:c>
      <x:c r="R1127" t="str">
        <x:v>7.3</x:v>
      </x:c>
      <x:c r="S1127" t="str">
        <x:v>11476.48</x:v>
      </x:c>
      <x:c r="T1127" t="str">
        <x:v>E-503 not ok after feed temperature ramp</x:v>
      </x:c>
      <x:c r="U1127" t="str">
        <x:v>A shift called for E-503 feed bottoms exchanger, tray temp drift seen during feed temperature ramp. Foud plugged pass; flow restricted. No spare in store at first, used refurb one from shop. stroke tested, response better. need watch next feed swing. notif made by ops, maint attended same shift.</x:v>
      </x:c>
    </x:row>
    <x:row r="1128" ht="15" hidden="0" customHeight="1">
      <x:c r="A1128" t="str">
        <x:v>10451127</x:v>
      </x:c>
      <x:c r="B1128" t="str">
        <x:v>40871127</x:v>
      </x:c>
      <x:c r="C1128" t="str">
        <x:v>2025-12-04</x:v>
      </x:c>
      <x:c r="D1128" t="str">
        <x:v>2025-12-06</x:v>
      </x:c>
      <x:c r="E1128" t="str">
        <x:v>2025-12-08</x:v>
      </x:c>
      <x:c r="F1128" t="str">
        <x:v>U400-DEETHANIZER-500</x:v>
      </x:c>
      <x:c r="G1128" t="str">
        <x:v>TV-501</x:v>
      </x:c>
      <x:c r="H1128" t="str">
        <x:v>reboiler hot medium valve</x:v>
      </x:c>
      <x:c r="I1128" t="str">
        <x:v>control_valve</x:v>
      </x:c>
      <x:c r="J1128" t="str">
        <x:v>P3</x:v>
      </x:c>
      <x:c r="K1128" t="str">
        <x:v>TECO</x:v>
      </x:c>
      <x:c r="L1128" t="str">
        <x:v>OPS+MECH</x:v>
      </x:c>
      <x:c r="M1128" t="str">
        <x:v>reboiler_duty_loss</x:v>
      </x:c>
      <x:c r="N1128" t="str">
        <x:v>hunting loop</x:v>
      </x:c>
      <x:c r="O1128" t="str">
        <x:v>CTRL_OSC</x:v>
      </x:c>
      <x:c r="P1128" t="str">
        <x:v>TUNE</x:v>
      </x:c>
      <x:c r="Q1128" t="str">
        <x:v>N</x:v>
      </x:c>
      <x:c r="R1128" t="str">
        <x:v>11.5</x:v>
      </x:c>
      <x:c r="S1128" t="str">
        <x:v>340.42</x:v>
      </x:c>
      <x:c r="T1128" t="str">
        <x:v>TV-501 hunting loop again, prod upset</x:v>
      </x:c>
      <x:c r="U1128" t="str">
        <x:v>B shift called for TV-501 reboiler hot medium vavle, c2 in btm seen during reboiler duty loss. Foud hunting loop; bad response after upset. swapped to standby and repaired. need watch next feed swing. notif made by ops, maint attended same shift.</x:v>
      </x:c>
    </x:row>
    <x:row r="1129" ht="15" hidden="0" customHeight="1">
      <x:c r="A1129" t="str">
        <x:v>10451128</x:v>
      </x:c>
      <x:c r="B1129" t="str">
        <x:v>40871128</x:v>
      </x:c>
      <x:c r="C1129" t="str">
        <x:v>2025-12-03</x:v>
      </x:c>
      <x:c r="D1129" t="str">
        <x:v>2025-12-03</x:v>
      </x:c>
      <x:c r="E1129" t="str">
        <x:v>2025-12-06</x:v>
      </x:c>
      <x:c r="F1129" t="str">
        <x:v>U400-DEETHANIZER-500</x:v>
      </x:c>
      <x:c r="G1129" t="str">
        <x:v>LV-502</x:v>
      </x:c>
      <x:c r="H1129" t="str">
        <x:v>bottoms level valve</x:v>
      </x:c>
      <x:c r="I1129" t="str">
        <x:v>control_valve</x:v>
      </x:c>
      <x:c r="J1129" t="str">
        <x:v>P3</x:v>
      </x:c>
      <x:c r="K1129" t="str">
        <x:v>COMP</x:v>
      </x:c>
      <x:c r="L1129" t="str">
        <x:v>ROT</x:v>
      </x:c>
      <x:c r="M1129" t="str">
        <x:v>valve_stiction</x:v>
      </x:c>
      <x:c r="N1129" t="str">
        <x:v>passing</x:v>
      </x:c>
      <x:c r="O1129" t="str">
        <x:v>LEAK_BY</x:v>
      </x:c>
      <x:c r="P1129" t="str">
        <x:v>SEAT</x:v>
      </x:c>
      <x:c r="Q1129" t="str">
        <x:v>N</x:v>
      </x:c>
      <x:c r="R1129" t="str">
        <x:v>7.5</x:v>
      </x:c>
      <x:c r="S1129" t="str">
        <x:v>5018.82</x:v>
      </x:c>
      <x:c r="T1129" t="str">
        <x:v>LV-502 passing again, prod upset</x:v>
      </x:c>
      <x:c r="U1129" t="str">
        <x:v>night called for LV-502 bottoms level valve, air leak seen during valve stiction. Foud passing; seat leak by. Line was hot so job done slow and with ops standing by. tightened fittings, leak test ok. readng close to dcs after job. notif made by ops, maint attended same shift.</x:v>
      </x:c>
    </x:row>
    <x:row r="1130" ht="15" hidden="0" customHeight="1">
      <x:c r="A1130" t="str">
        <x:v>10451129</x:v>
      </x:c>
      <x:c r="B1130" t="str">
        <x:v>40871129</x:v>
      </x:c>
      <x:c r="C1130" t="str">
        <x:v>2025-12-06</x:v>
      </x:c>
      <x:c r="D1130" t="str">
        <x:v>2025-12-07</x:v>
      </x:c>
      <x:c r="E1130" t="str">
        <x:v>2025-12-08</x:v>
      </x:c>
      <x:c r="F1130" t="str">
        <x:v>U400-DEETHANIZER-500</x:v>
      </x:c>
      <x:c r="G1130" t="str">
        <x:v>PT-501</x:v>
      </x:c>
      <x:c r="H1130" t="str">
        <x:v>column overhead pressure tx</x:v>
      </x:c>
      <x:c r="I1130" t="str">
        <x:v>instrument</x:v>
      </x:c>
      <x:c r="J1130" t="str">
        <x:v>P3</x:v>
      </x:c>
      <x:c r="K1130" t="str">
        <x:v>TECO</x:v>
      </x:c>
      <x:c r="L1130" t="str">
        <x:v>E&amp;I</x:v>
      </x:c>
      <x:c r="M1130" t="str">
        <x:v>normal_wear</x:v>
      </x:c>
      <x:c r="N1130" t="str">
        <x:v>bad reading</x:v>
      </x:c>
      <x:c r="O1130" t="str">
        <x:v>DRIFT</x:v>
      </x:c>
      <x:c r="P1130" t="str">
        <x:v>CAL</x:v>
      </x:c>
      <x:c r="Q1130" t="str">
        <x:v>N</x:v>
      </x:c>
      <x:c r="R1130" t="str">
        <x:v>3.5</x:v>
      </x:c>
      <x:c r="S1130" t="str">
        <x:v>945.41</x:v>
      </x:c>
      <x:c r="T1130" t="str">
        <x:v>PT-501 not ok after normal wear</x:v>
      </x:c>
      <x:c r="U1130" t="str">
        <x:v>days called for PT-501 column overhead pressure tx, noise seen during normal wear. Foud bad reading; needs calib. Tag plate dirty, confirmd by line up with panel. calibrated, loop chekd with CCR. still little hunting but acceptable. notif made by ops, maint attended same shift.</x:v>
      </x:c>
    </x:row>
    <x:row r="1131" ht="15" hidden="0" customHeight="1">
      <x:c r="A1131" t="str">
        <x:v>10451130</x:v>
      </x:c>
      <x:c r="B1131" t="str">
        <x:v>40871130</x:v>
      </x:c>
      <x:c r="C1131" t="str">
        <x:v>2025-12-08</x:v>
      </x:c>
      <x:c r="D1131" t="str">
        <x:v>2025-12-08</x:v>
      </x:c>
      <x:c r="E1131" t="str">
        <x:v>2025-12-08</x:v>
      </x:c>
      <x:c r="F1131" t="str">
        <x:v>U400-DEETHANIZER-500</x:v>
      </x:c>
      <x:c r="G1131" t="str">
        <x:v>TT-501B</x:v>
      </x:c>
      <x:c r="H1131" t="str">
        <x:v>sensitive tray temperature tx</x:v>
      </x:c>
      <x:c r="I1131" t="str">
        <x:v>instrument</x:v>
      </x:c>
      <x:c r="J1131" t="str">
        <x:v>P4</x:v>
      </x:c>
      <x:c r="K1131" t="str">
        <x:v>CLSD</x:v>
      </x:c>
      <x:c r="L1131" t="str">
        <x:v>OPS+INST</x:v>
      </x:c>
      <x:c r="M1131" t="str">
        <x:v>condenser_fouling</x:v>
      </x:c>
      <x:c r="N1131" t="str">
        <x:v>no signal</x:v>
      </x:c>
      <x:c r="O1131" t="str">
        <x:v>NO_SIGNAL</x:v>
      </x:c>
      <x:c r="P1131" t="str">
        <x:v>ELEC</x:v>
      </x:c>
      <x:c r="Q1131" t="str">
        <x:v>N</x:v>
      </x:c>
      <x:c r="R1131" t="str">
        <x:v>12.6</x:v>
      </x:c>
      <x:c r="S1131" t="str">
        <x:v>4172.41</x:v>
      </x:c>
      <x:c r="T1131" t="str">
        <x:v>TT-501B no signal again, prod upset</x:v>
      </x:c>
      <x:c r="U1131" t="str">
        <x:v>night called for TT-501B sensitive tray temperature tx, drum temp hi seen during condenser fouling. Foud no signal; 24v or card issue. History shows same complain last mnth. cleaned and put back online. still little hunting but acceptable. notif made by ops, maint attended same shift.</x:v>
      </x:c>
    </x:row>
    <x:row r="1132" ht="15" hidden="0" customHeight="1">
      <x:c r="A1132" t="str">
        <x:v>10451131</x:v>
      </x:c>
      <x:c r="B1132" t="str">
        <x:v>40871131</x:v>
      </x:c>
      <x:c r="C1132" t="str">
        <x:v>2025-12-09</x:v>
      </x:c>
      <x:c r="D1132" t="str">
        <x:v>2025-12-09</x:v>
      </x:c>
      <x:c r="E1132" t="str">
        <x:v>2025-12-10</x:v>
      </x:c>
      <x:c r="F1132" t="str">
        <x:v>U400-DEETHANIZER-500</x:v>
      </x:c>
      <x:c r="G1132" t="str">
        <x:v>P-501A</x:v>
      </x:c>
      <x:c r="H1132" t="str">
        <x:v>reflux pump A</x:v>
      </x:c>
      <x:c r="I1132" t="str">
        <x:v>pump</x:v>
      </x:c>
      <x:c r="J1132" t="str">
        <x:v>P3</x:v>
      </x:c>
      <x:c r="K1132" t="str">
        <x:v>COMP</x:v>
      </x:c>
      <x:c r="L1132" t="str">
        <x:v>OPS+MECH</x:v>
      </x:c>
      <x:c r="M1132" t="str">
        <x:v>reflux_pump_degradation</x:v>
      </x:c>
      <x:c r="N1132" t="str">
        <x:v>bearing hot</x:v>
      </x:c>
      <x:c r="O1132" t="str">
        <x:v>BRG</x:v>
      </x:c>
      <x:c r="P1132" t="str">
        <x:v>WEAR</x:v>
      </x:c>
      <x:c r="Q1132" t="str">
        <x:v>N</x:v>
      </x:c>
      <x:c r="R1132" t="str">
        <x:v>12.3</x:v>
      </x:c>
      <x:c r="S1132" t="str">
        <x:v>10648.4</x:v>
      </x:c>
      <x:c r="T1132" t="str">
        <x:v>P-501A not ok after reflux pump degradation</x:v>
      </x:c>
      <x:c r="U1132" t="str">
        <x:v>A shift called for P-501A reflux pump A, pump vib seen during reflux pump degradation. Foud bearing hot; brg rough, lube dark. changed gasket and boxed up. no leak at handover. notif made by ops, maint attended same shift.</x:v>
      </x:c>
    </x:row>
    <x:row r="1133" ht="15" hidden="0" customHeight="1">
      <x:c r="A1133" t="str">
        <x:v>10451132</x:v>
      </x:c>
      <x:c r="B1133" t="str">
        <x:v>40871132</x:v>
      </x:c>
      <x:c r="C1133" t="str">
        <x:v>2025-12-11</x:v>
      </x:c>
      <x:c r="D1133" t="str">
        <x:v>2025-12-12</x:v>
      </x:c>
      <x:c r="E1133" t="str">
        <x:v>2025-12-17</x:v>
      </x:c>
      <x:c r="F1133" t="str">
        <x:v>U400-DEETHANIZER-500</x:v>
      </x:c>
      <x:c r="G1133" t="str">
        <x:v>E-502</x:v>
      </x:c>
      <x:c r="H1133" t="str">
        <x:v>deethanizer overhead condenser</x:v>
      </x:c>
      <x:c r="I1133" t="str">
        <x:v>condenser</x:v>
      </x:c>
      <x:c r="J1133" t="str">
        <x:v>P3</x:v>
      </x:c>
      <x:c r="K1133" t="str">
        <x:v>COMP</x:v>
      </x:c>
      <x:c r="L1133" t="str">
        <x:v>MECH</x:v>
      </x:c>
      <x:c r="M1133" t="str">
        <x:v>condenser_fouling</x:v>
      </x:c>
      <x:c r="N1133" t="str">
        <x:v>tv no travel</x:v>
      </x:c>
      <x:c r="O1133" t="str">
        <x:v>VALVE</x:v>
      </x:c>
      <x:c r="P1133" t="str">
        <x:v>STICK</x:v>
      </x:c>
      <x:c r="Q1133" t="str">
        <x:v>N</x:v>
      </x:c>
      <x:c r="R1133" t="str">
        <x:v>17.1</x:v>
      </x:c>
      <x:c r="S1133" t="str">
        <x:v>16003.49</x:v>
      </x:c>
      <x:c r="T1133" t="str">
        <x:v>E-502 tv no travel again, prod upset</x:v>
      </x:c>
      <x:c r="U1133" t="str">
        <x:v>days called for E-502 deethanizer overhead condenser, high ovhd press seen during condenser fouling. Foud tv no travel; cooling vavle stuck. cleaned and put back online. readng close to dcs after job. notif made by ops, maint attended same shift.</x:v>
      </x:c>
    </x:row>
    <x:row r="1134" ht="15" hidden="0" customHeight="1">
      <x:c r="A1134" t="str">
        <x:v>10451133</x:v>
      </x:c>
      <x:c r="B1134" t="str">
        <x:v>40871133</x:v>
      </x:c>
      <x:c r="C1134" t="str">
        <x:v>2025-12-10</x:v>
      </x:c>
      <x:c r="D1134" t="str">
        <x:v>2025-12-10</x:v>
      </x:c>
      <x:c r="E1134" t="str">
        <x:v>2025-12-10</x:v>
      </x:c>
      <x:c r="F1134" t="str">
        <x:v>U400-DEETHANIZER-500</x:v>
      </x:c>
      <x:c r="G1134" t="str">
        <x:v>E-502</x:v>
      </x:c>
      <x:c r="H1134" t="str">
        <x:v>deethanizer overhead condenser</x:v>
      </x:c>
      <x:c r="I1134" t="str">
        <x:v>condenser</x:v>
      </x:c>
      <x:c r="J1134" t="str">
        <x:v>P3</x:v>
      </x:c>
      <x:c r="K1134" t="str">
        <x:v>CLSD</x:v>
      </x:c>
      <x:c r="L1134" t="str">
        <x:v>INST</x:v>
      </x:c>
      <x:c r="M1134" t="str">
        <x:v>pressure_control_fault</x:v>
      </x:c>
      <x:c r="N1134" t="str">
        <x:v>tv no travel</x:v>
      </x:c>
      <x:c r="O1134" t="str">
        <x:v>VALVE</x:v>
      </x:c>
      <x:c r="P1134" t="str">
        <x:v>STICK</x:v>
      </x:c>
      <x:c r="Q1134" t="str">
        <x:v>N</x:v>
      </x:c>
      <x:c r="R1134" t="str">
        <x:v>17.4</x:v>
      </x:c>
      <x:c r="S1134" t="str">
        <x:v>10667.48</x:v>
      </x:c>
      <x:c r="T1134" t="str">
        <x:v>chk E-502 - tv no travel frm ops</x:v>
      </x:c>
      <x:c r="U1134" t="str">
        <x:v>days called for E-502 deethanizer overhead condenser, pv not movng seen during pressure control fault. Foud tv no travel; cooling vavle stuck. No spare in store at first, used refurb one from shop. calibrated, loop checked with CCR. readng close to dcs after job. notif made by ops, maint attended same shift.</x:v>
      </x:c>
    </x:row>
    <x:row r="1135" ht="15" hidden="0" customHeight="1">
      <x:c r="A1135" t="str">
        <x:v>10451134</x:v>
      </x:c>
      <x:c r="B1135" t="str">
        <x:v>40871134</x:v>
      </x:c>
      <x:c r="C1135" t="str">
        <x:v>2025-12-12</x:v>
      </x:c>
      <x:c r="D1135" t="str">
        <x:v>2025-12-12</x:v>
      </x:c>
      <x:c r="E1135" t="str">
        <x:v>2025-12-19</x:v>
      </x:c>
      <x:c r="F1135" t="str">
        <x:v>U400-DEETHANIZER-500</x:v>
      </x:c>
      <x:c r="G1135" t="str">
        <x:v>P-501A</x:v>
      </x:c>
      <x:c r="H1135" t="str">
        <x:v>reflux pump A</x:v>
      </x:c>
      <x:c r="I1135" t="str">
        <x:v>pump</x:v>
      </x:c>
      <x:c r="J1135" t="str">
        <x:v>P3</x:v>
      </x:c>
      <x:c r="K1135" t="str">
        <x:v>CLSD</x:v>
      </x:c>
      <x:c r="L1135" t="str">
        <x:v>ANLYZR</x:v>
      </x:c>
      <x:c r="M1135" t="str">
        <x:v>normal_wear</x:v>
      </x:c>
      <x:c r="N1135" t="str">
        <x:v>vib high</x:v>
      </x:c>
      <x:c r="O1135" t="str">
        <x:v>VIB</x:v>
      </x:c>
      <x:c r="P1135" t="str">
        <x:v>ALIGN</x:v>
      </x:c>
      <x:c r="Q1135" t="str">
        <x:v>N</x:v>
      </x:c>
      <x:c r="R1135" t="str">
        <x:v>12.0</x:v>
      </x:c>
      <x:c r="S1135" t="str">
        <x:v>5038.56</x:v>
      </x:c>
      <x:c r="T1135" t="str">
        <x:v>P-501A noise, vib high</x:v>
      </x:c>
      <x:c r="U1135" t="str">
        <x:v>C shift called for P-501A reflux pump A, plugged impulse seen during normal wear. Foud vib high; coupling align or cavitation. reset trip and monitored for 2 hrs. still little hunting but acceptable. notif made by ops, maint attended same shift.</x:v>
      </x:c>
    </x:row>
    <x:row r="1136" ht="15" hidden="0" customHeight="1">
      <x:c r="A1136" t="str">
        <x:v>10451135</x:v>
      </x:c>
      <x:c r="B1136" t="str">
        <x:v>40871135</x:v>
      </x:c>
      <x:c r="C1136" t="str">
        <x:v>2025-12-12</x:v>
      </x:c>
      <x:c r="D1136" t="str">
        <x:v>2025-12-13</x:v>
      </x:c>
      <x:c r="E1136" t="str">
        <x:v>2025-12-13</x:v>
      </x:c>
      <x:c r="F1136" t="str">
        <x:v>U400-DEETHANIZER-500</x:v>
      </x:c>
      <x:c r="G1136" t="str">
        <x:v>E-502</x:v>
      </x:c>
      <x:c r="H1136" t="str">
        <x:v>deethanizer overhead condenser</x:v>
      </x:c>
      <x:c r="I1136" t="str">
        <x:v>condenser</x:v>
      </x:c>
      <x:c r="J1136" t="str">
        <x:v>P4</x:v>
      </x:c>
      <x:c r="K1136" t="str">
        <x:v>COMP</x:v>
      </x:c>
      <x:c r="L1136" t="str">
        <x:v>ANLYZR</x:v>
      </x:c>
      <x:c r="M1136" t="str">
        <x:v>normal_wear</x:v>
      </x:c>
      <x:c r="N1136" t="str">
        <x:v>high press</x:v>
      </x:c>
      <x:c r="O1136" t="str">
        <x:v>PERF</x:v>
      </x:c>
      <x:c r="P1136" t="str">
        <x:v>FOUL</x:v>
      </x:c>
      <x:c r="Q1136" t="str">
        <x:v>N</x:v>
      </x:c>
      <x:c r="R1136" t="str">
        <x:v>2.6</x:v>
      </x:c>
      <x:c r="S1136" t="str">
        <x:v>12950.24</x:v>
      </x:c>
      <x:c r="T1136" t="str">
        <x:v>E-502 not ok after normal wear</x:v>
      </x:c>
      <x:c r="U1136" t="str">
        <x:v>night called for E-502 deethanizer overhead condenser, loose term seen during normal wear. Foud high press; condensing duty poor. swapped to standby and repaired. unit stable now. notif made by ops, maint attended same shift.</x:v>
      </x:c>
    </x:row>
    <x:row r="1137" ht="15" hidden="0" customHeight="1">
      <x:c r="A1137" t="str">
        <x:v>10451136</x:v>
      </x:c>
      <x:c r="B1137" t="str">
        <x:v>40871136</x:v>
      </x:c>
      <x:c r="C1137" t="str">
        <x:v>2025-12-18</x:v>
      </x:c>
      <x:c r="D1137" t="str">
        <x:v>2025-12-18</x:v>
      </x:c>
      <x:c r="E1137" t="str">
        <x:v>2025-12-19</x:v>
      </x:c>
      <x:c r="F1137" t="str">
        <x:v>U400-DEETHANIZER-500</x:v>
      </x:c>
      <x:c r="G1137" t="str">
        <x:v>E-502</x:v>
      </x:c>
      <x:c r="H1137" t="str">
        <x:v>deethanizer overhead condenser</x:v>
      </x:c>
      <x:c r="I1137" t="str">
        <x:v>condenser</x:v>
      </x:c>
      <x:c r="J1137" t="str">
        <x:v>P1</x:v>
      </x:c>
      <x:c r="K1137" t="str">
        <x:v>CLSD</x:v>
      </x:c>
      <x:c r="L1137" t="str">
        <x:v>MECH</x:v>
      </x:c>
      <x:c r="M1137" t="str">
        <x:v>pressure_control_fault</x:v>
      </x:c>
      <x:c r="N1137" t="str">
        <x:v>cw fouling</x:v>
      </x:c>
      <x:c r="O1137" t="str">
        <x:v>FOULING</x:v>
      </x:c>
      <x:c r="P1137" t="str">
        <x:v>UTILITY</x:v>
      </x:c>
      <x:c r="Q1137" t="str">
        <x:v>Y</x:v>
      </x:c>
      <x:c r="R1137" t="str">
        <x:v>9.6</x:v>
      </x:c>
      <x:c r="S1137" t="str">
        <x:v>13833.16</x:v>
      </x:c>
      <x:c r="T1137" t="str">
        <x:v>E-502 not ok after pressure ctrl fault</x:v>
      </x:c>
      <x:c r="U1137" t="str">
        <x:v>A shift called for E-502 deethanizer overhead condnsr, press spike seen during pressure ctrl fault. Foud cw fouling; cw side scaled. opened strainer, cleaned black sludge. temp repair only, plan shutdown job. notif made by ops, maint attended same shift.</x:v>
      </x:c>
    </x:row>
    <x:row r="1138" ht="15" hidden="0" customHeight="1">
      <x:c r="A1138" t="str">
        <x:v>10451137</x:v>
      </x:c>
      <x:c r="B1138" t="str">
        <x:v>40871137</x:v>
      </x:c>
      <x:c r="C1138" t="str">
        <x:v>2025-12-17</x:v>
      </x:c>
      <x:c r="D1138" t="str">
        <x:v>2025-12-17</x:v>
      </x:c>
      <x:c r="E1138" t="str">
        <x:v>2025-12-20</x:v>
      </x:c>
      <x:c r="F1138" t="str">
        <x:v>U400-DEETHANIZER-500</x:v>
      </x:c>
      <x:c r="G1138" t="str">
        <x:v>E-502</x:v>
      </x:c>
      <x:c r="H1138" t="str">
        <x:v>deethanizer overhead condenser</x:v>
      </x:c>
      <x:c r="I1138" t="str">
        <x:v>condenser</x:v>
      </x:c>
      <x:c r="J1138" t="str">
        <x:v>P3</x:v>
      </x:c>
      <x:c r="K1138" t="str">
        <x:v>CLSD</x:v>
      </x:c>
      <x:c r="L1138" t="str">
        <x:v>INST</x:v>
      </x:c>
      <x:c r="M1138" t="str">
        <x:v>condenser_fouling</x:v>
      </x:c>
      <x:c r="N1138" t="str">
        <x:v>tv no travel</x:v>
      </x:c>
      <x:c r="O1138" t="str">
        <x:v>VALVE</x:v>
      </x:c>
      <x:c r="P1138" t="str">
        <x:v>STICK</x:v>
      </x:c>
      <x:c r="Q1138" t="str">
        <x:v>N</x:v>
      </x:c>
      <x:c r="R1138" t="str">
        <x:v>10.1</x:v>
      </x:c>
      <x:c r="S1138" t="str">
        <x:v>4552.0</x:v>
      </x:c>
      <x:c r="T1138" t="str">
        <x:v>E-502 tv no travel chk &amp; revert</x:v>
      </x:c>
      <x:c r="U1138" t="str">
        <x:v>C shift called for E-502 deethanizer overhead condnsr, high ovhd press seen during condnsr fouling. Foud tv no travel; cooling valve stuck. stroke tested, response better. readng close to dcs after job. notif made by ops, maint attended same shift.</x:v>
      </x:c>
    </x:row>
    <x:row r="1139" ht="15" hidden="0" customHeight="1">
      <x:c r="A1139" t="str">
        <x:v>10451138</x:v>
      </x:c>
      <x:c r="B1139" t="str">
        <x:v>40871138</x:v>
      </x:c>
      <x:c r="C1139" t="str">
        <x:v>2025-12-18</x:v>
      </x:c>
      <x:c r="D1139" t="str">
        <x:v>2025-12-18</x:v>
      </x:c>
      <x:c r="E1139" t="str">
        <x:v>2025-12-18</x:v>
      </x:c>
      <x:c r="F1139" t="str">
        <x:v>U400-DEETHANIZER-500</x:v>
      </x:c>
      <x:c r="G1139" t="str">
        <x:v>AIT-502</x:v>
      </x:c>
      <x:c r="H1139" t="str">
        <x:v>bottoms C3+ analyzer</x:v>
      </x:c>
      <x:c r="I1139" t="str">
        <x:v>analyzer</x:v>
      </x:c>
      <x:c r="J1139" t="str">
        <x:v>P3</x:v>
      </x:c>
      <x:c r="K1139" t="str">
        <x:v>TECO</x:v>
      </x:c>
      <x:c r="L1139" t="str">
        <x:v>E&amp;I</x:v>
      </x:c>
      <x:c r="M1139" t="str">
        <x:v>feed_composition_shift</x:v>
      </x:c>
      <x:c r="N1139" t="str">
        <x:v>anlyzr drift</x:v>
      </x:c>
      <x:c r="O1139" t="str">
        <x:v>DRIFT</x:v>
      </x:c>
      <x:c r="P1139" t="str">
        <x:v>CAL_GAS</x:v>
      </x:c>
      <x:c r="Q1139" t="str">
        <x:v>N</x:v>
      </x:c>
      <x:c r="R1139" t="str">
        <x:v>9.6</x:v>
      </x:c>
      <x:c r="S1139" t="str">
        <x:v>4826.99</x:v>
      </x:c>
      <x:c r="T1139" t="str">
        <x:v>chk AIT-502 - anlyzr drift frm ops</x:v>
      </x:c>
      <x:c r="U1139" t="str">
        <x:v>days called for AIT-502 bottoms C3+ analyzer, ovhd c3 slip seen during feed composition shift. Foud anlyzr drift; cal gas failed. stroke tested, response better. temp repair only, plan shutdown job. notif made by ops, maint attended same shift.</x:v>
      </x:c>
    </x:row>
    <x:row r="1140" ht="15" hidden="0" customHeight="1">
      <x:c r="A1140" t="str">
        <x:v>10451139</x:v>
      </x:c>
      <x:c r="B1140" t="str">
        <x:v>40871139</x:v>
      </x:c>
      <x:c r="C1140" t="str">
        <x:v>2025-12-23</x:v>
      </x:c>
      <x:c r="D1140" t="str">
        <x:v>2025-12-23</x:v>
      </x:c>
      <x:c r="E1140" t="str">
        <x:v>2025-12-25</x:v>
      </x:c>
      <x:c r="F1140" t="str">
        <x:v>U400-DEETHANIZER-500</x:v>
      </x:c>
      <x:c r="G1140" t="str">
        <x:v>E-503</x:v>
      </x:c>
      <x:c r="H1140" t="str">
        <x:v>feed bottoms exchanger</x:v>
      </x:c>
      <x:c r="I1140" t="str">
        <x:v>exchanger</x:v>
      </x:c>
      <x:c r="J1140" t="str">
        <x:v>P2</x:v>
      </x:c>
      <x:c r="K1140" t="str">
        <x:v>TECO</x:v>
      </x:c>
      <x:c r="L1140" t="str">
        <x:v>INST</x:v>
      </x:c>
      <x:c r="M1140" t="str">
        <x:v>feed_flow_step</x:v>
      </x:c>
      <x:c r="N1140" t="str">
        <x:v>plugged pass</x:v>
      </x:c>
      <x:c r="O1140" t="str">
        <x:v>PLUG</x:v>
      </x:c>
      <x:c r="P1140" t="str">
        <x:v>FOUL</x:v>
      </x:c>
      <x:c r="Q1140" t="str">
        <x:v>Y</x:v>
      </x:c>
      <x:c r="R1140" t="str">
        <x:v>13.0</x:v>
      </x:c>
      <x:c r="S1140" t="str">
        <x:v>7505.79</x:v>
      </x:c>
      <x:c r="T1140" t="str">
        <x:v>chk E-503 - plugged pass frm ops</x:v>
      </x:c>
      <x:c r="U1140" t="str">
        <x:v>A shift called for E-503 feed bottoms exchanger, fic hunting seen during feed flow step. Foud plugged pass; flow restricted. No spare in store at first, used refurb one from shop. calibrated, loop checked with CCR. no leak at handover. notif made by ops, maint attended same shift.</x:v>
      </x:c>
    </x:row>
    <x:row r="1141" ht="15" hidden="0" customHeight="1">
      <x:c r="A1141" t="str">
        <x:v>10451140</x:v>
      </x:c>
      <x:c r="B1141" t="str">
        <x:v>40871140</x:v>
      </x:c>
      <x:c r="C1141" t="str">
        <x:v>2025-12-24</x:v>
      </x:c>
      <x:c r="D1141" t="str">
        <x:v>2025-12-24</x:v>
      </x:c>
      <x:c r="E1141" t="str">
        <x:v>2025-12-24</x:v>
      </x:c>
      <x:c r="F1141" t="str">
        <x:v>U400-DEETHANIZER-500</x:v>
      </x:c>
      <x:c r="G1141" t="str">
        <x:v>PSV-501A</x:v>
      </x:c>
      <x:c r="H1141" t="str">
        <x:v>column relief valve A</x:v>
      </x:c>
      <x:c r="I1141" t="str">
        <x:v>relief</x:v>
      </x:c>
      <x:c r="J1141" t="str">
        <x:v>P4</x:v>
      </x:c>
      <x:c r="K1141" t="str">
        <x:v>COMP</x:v>
      </x:c>
      <x:c r="L1141" t="str">
        <x:v>MECH</x:v>
      </x:c>
      <x:c r="M1141" t="str">
        <x:v>reboiler_duty_loss</x:v>
      </x:c>
      <x:c r="N1141" t="str">
        <x:v>car seal broken</x:v>
      </x:c>
      <x:c r="O1141" t="str">
        <x:v>CSO</x:v>
      </x:c>
      <x:c r="P1141" t="str">
        <x:v>HUMAN</x:v>
      </x:c>
      <x:c r="Q1141" t="str">
        <x:v>N</x:v>
      </x:c>
      <x:c r="R1141" t="str">
        <x:v>16.4</x:v>
      </x:c>
      <x:c r="S1141" t="str">
        <x:v>4740.04</x:v>
      </x:c>
      <x:c r="T1141" t="str">
        <x:v>PSV-501A car seal broken bad</x:v>
      </x:c>
      <x:c r="U1141" t="str">
        <x:v>A shift called for PSV-501A column relief valve A, c2 in btm seen during reboiler duty loss. Foud car seal broken; seal missing found. No spare in store at first, used refurb one from shop. flushed impulse/sample line. need watch next feed swing. notif made by ops, maint attended same shift.</x:v>
      </x:c>
    </x:row>
    <x:row r="1142" ht="15" hidden="0" customHeight="1">
      <x:c r="A1142" t="str">
        <x:v>10451141</x:v>
      </x:c>
      <x:c r="B1142" t="str">
        <x:v>40871141</x:v>
      </x:c>
      <x:c r="C1142" t="str">
        <x:v>2025-12-25</x:v>
      </x:c>
      <x:c r="D1142" t="str">
        <x:v>2025-12-26</x:v>
      </x:c>
      <x:c r="E1142" t="str">
        <x:v>2025-12-29</x:v>
      </x:c>
      <x:c r="F1142" t="str">
        <x:v>U400-DEETHANIZER-500</x:v>
      </x:c>
      <x:c r="G1142" t="str">
        <x:v>E-501</x:v>
      </x:c>
      <x:c r="H1142" t="str">
        <x:v>deethanizer reboiler</x:v>
      </x:c>
      <x:c r="I1142" t="str">
        <x:v>reboiler</x:v>
      </x:c>
      <x:c r="J1142" t="str">
        <x:v>P3</x:v>
      </x:c>
      <x:c r="K1142" t="str">
        <x:v>COMP</x:v>
      </x:c>
      <x:c r="L1142" t="str">
        <x:v>MECH</x:v>
      </x:c>
      <x:c r="M1142" t="str">
        <x:v>reboiler_duty_loss</x:v>
      </x:c>
      <x:c r="N1142" t="str">
        <x:v>fouled bundle</x:v>
      </x:c>
      <x:c r="O1142" t="str">
        <x:v>FOULING</x:v>
      </x:c>
      <x:c r="P1142" t="str">
        <x:v>PROCESS</x:v>
      </x:c>
      <x:c r="Q1142" t="str">
        <x:v>N</x:v>
      </x:c>
      <x:c r="R1142" t="str">
        <x:v>7.0</x:v>
      </x:c>
      <x:c r="S1142" t="str">
        <x:v>14308.92</x:v>
      </x:c>
      <x:c r="T1142" t="str">
        <x:v>E-501 fouled bundle noisy</x:v>
      </x:c>
      <x:c r="U1142" t="str">
        <x:v>night called for E-501 deethanizer reboiler, tray temp low seen during reboiler duty loss. Foud fouled bundle; bottoms side dirty. opened strainer, cleaned black sludge. still little hunting but acceptable. notif made by ops, maint attended same shift.</x:v>
      </x:c>
    </x:row>
    <x:row r="1143" ht="15" hidden="0" customHeight="1">
      <x:c r="A1143" t="str">
        <x:v>10451142</x:v>
      </x:c>
      <x:c r="B1143" t="str">
        <x:v>40871142</x:v>
      </x:c>
      <x:c r="C1143" t="str">
        <x:v>2025-12-26</x:v>
      </x:c>
      <x:c r="D1143" t="str">
        <x:v>2025-12-26</x:v>
      </x:c>
      <x:c r="E1143" t="str">
        <x:v>2025-12-26</x:v>
      </x:c>
      <x:c r="F1143" t="str">
        <x:v>U400-DEETHANIZER-500</x:v>
      </x:c>
      <x:c r="G1143" t="str">
        <x:v>LT-501</x:v>
      </x:c>
      <x:c r="H1143" t="str">
        <x:v>reflux drum level tx</x:v>
      </x:c>
      <x:c r="I1143" t="str">
        <x:v>instrument</x:v>
      </x:c>
      <x:c r="J1143" t="str">
        <x:v>P2</x:v>
      </x:c>
      <x:c r="K1143" t="str">
        <x:v>CLSD</x:v>
      </x:c>
      <x:c r="L1143" t="str">
        <x:v>E&amp;I</x:v>
      </x:c>
      <x:c r="M1143" t="str">
        <x:v>reboiler_duty_loss</x:v>
      </x:c>
      <x:c r="N1143" t="str">
        <x:v>bad reading</x:v>
      </x:c>
      <x:c r="O1143" t="str">
        <x:v>DRIFT</x:v>
      </x:c>
      <x:c r="P1143" t="str">
        <x:v>CAL</x:v>
      </x:c>
      <x:c r="Q1143" t="str">
        <x:v>N</x:v>
      </x:c>
      <x:c r="R1143" t="str">
        <x:v>8.9</x:v>
      </x:c>
      <x:c r="S1143" t="str">
        <x:v>4702.27</x:v>
      </x:c>
      <x:c r="T1143" t="str">
        <x:v>LT-501 bad reading again, prod upset</x:v>
      </x:c>
      <x:c r="U1143" t="str">
        <x:v>A shift called for LT-501 reflux drum level tx, c2 in btm seen during reboiler duty loss. Foud bad reading; needs calib. No spare in store at first, used refurb one from shop. cleaned and put back online. temp repair only, plan shutdown job. notif made by ops, maint attended same shift.</x:v>
      </x:c>
    </x:row>
    <x:row r="1144" ht="15" hidden="0" customHeight="1">
      <x:c r="A1144" t="str">
        <x:v>10451143</x:v>
      </x:c>
      <x:c r="B1144" t="str">
        <x:v>40871143</x:v>
      </x:c>
      <x:c r="C1144" t="str">
        <x:v>2025-12-26</x:v>
      </x:c>
      <x:c r="D1144" t="str">
        <x:v>2025-12-27</x:v>
      </x:c>
      <x:c r="E1144" t="str">
        <x:v>2025-12-28</x:v>
      </x:c>
      <x:c r="F1144" t="str">
        <x:v>U400-DEETHANIZER-500</x:v>
      </x:c>
      <x:c r="G1144" t="str">
        <x:v>E-502</x:v>
      </x:c>
      <x:c r="H1144" t="str">
        <x:v>deethanizer overhead condenser</x:v>
      </x:c>
      <x:c r="I1144" t="str">
        <x:v>condenser</x:v>
      </x:c>
      <x:c r="J1144" t="str">
        <x:v>P2</x:v>
      </x:c>
      <x:c r="K1144" t="str">
        <x:v>CLSD</x:v>
      </x:c>
      <x:c r="L1144" t="str">
        <x:v>ROT</x:v>
      </x:c>
      <x:c r="M1144" t="str">
        <x:v>feed_composition_shift</x:v>
      </x:c>
      <x:c r="N1144" t="str">
        <x:v>tube leak sus</x:v>
      </x:c>
      <x:c r="O1144" t="str">
        <x:v>LEAK</x:v>
      </x:c>
      <x:c r="P1144" t="str">
        <x:v>TUBE</x:v>
      </x:c>
      <x:c r="Q1144" t="str">
        <x:v>N</x:v>
      </x:c>
      <x:c r="R1144" t="str">
        <x:v>4.8</x:v>
      </x:c>
      <x:c r="S1144" t="str">
        <x:v>7859.65</x:v>
      </x:c>
      <x:c r="T1144" t="str">
        <x:v>E-502 tube leak sus again, prod upset</x:v>
      </x:c>
      <x:c r="U1144" t="str">
        <x:v>A shift called for E-502 deethanizer overhead condnsr, btm heavy seen during feed composition shift. Foud tube leak sus; hydrotest reqd. opened strainer, cleaned black sludge. temp repair only, plan shutdown job. notif made by ops, maint attended same shift.</x:v>
      </x:c>
    </x:row>
    <x:row r="1145" ht="15" hidden="0" customHeight="1">
      <x:c r="A1145" t="str">
        <x:v>10451144</x:v>
      </x:c>
      <x:c r="B1145" t="str">
        <x:v>40871144</x:v>
      </x:c>
      <x:c r="C1145" t="str">
        <x:v>2025-12-27</x:v>
      </x:c>
      <x:c r="D1145" t="str">
        <x:v>2025-12-28</x:v>
      </x:c>
      <x:c r="E1145" t="str">
        <x:v>2025-12-29</x:v>
      </x:c>
      <x:c r="F1145" t="str">
        <x:v>U400-DEETHANIZER-500</x:v>
      </x:c>
      <x:c r="G1145" t="str">
        <x:v>P-501A</x:v>
      </x:c>
      <x:c r="H1145" t="str">
        <x:v>reflux pump A</x:v>
      </x:c>
      <x:c r="I1145" t="str">
        <x:v>pump</x:v>
      </x:c>
      <x:c r="J1145" t="str">
        <x:v>P2</x:v>
      </x:c>
      <x:c r="K1145" t="str">
        <x:v>COMP</x:v>
      </x:c>
      <x:c r="L1145" t="str">
        <x:v>INST</x:v>
      </x:c>
      <x:c r="M1145" t="str">
        <x:v>reflux_pump_degradation</x:v>
      </x:c>
      <x:c r="N1145" t="str">
        <x:v>motor trip</x:v>
      </x:c>
      <x:c r="O1145" t="str">
        <x:v>MOTOR</x:v>
      </x:c>
      <x:c r="P1145" t="str">
        <x:v>ELEC</x:v>
      </x:c>
      <x:c r="Q1145" t="str">
        <x:v>N</x:v>
      </x:c>
      <x:c r="R1145" t="str">
        <x:v>7.7</x:v>
      </x:c>
      <x:c r="S1145" t="str">
        <x:v>7783.74</x:v>
      </x:c>
      <x:c r="T1145" t="str">
        <x:v>P-501A motor trip again, prod upset</x:v>
      </x:c>
      <x:c r="U1145" t="str">
        <x:v>A shift called for P-501A reflux pump A, seal weep seen during reflux pump degradation. Foud motor trip; overload trip after upset. History shows same complain last mnth. swapped to standby and repaired. readng close to dcs after job. notif made by ops, maint attended same shift.</x:v>
      </x:c>
    </x:row>
    <x:row r="1146" ht="15" hidden="0" customHeight="1">
      <x:c r="A1146" t="str">
        <x:v>10451145</x:v>
      </x:c>
      <x:c r="B1146" t="str">
        <x:v>40871145</x:v>
      </x:c>
      <x:c r="C1146" t="str">
        <x:v>2025-12-30</x:v>
      </x:c>
      <x:c r="D1146" t="str">
        <x:v>2025-12-31</x:v>
      </x:c>
      <x:c r="E1146" t="str">
        <x:v>2025-12-31</x:v>
      </x:c>
      <x:c r="F1146" t="str">
        <x:v>U400-DEETHANIZER-500</x:v>
      </x:c>
      <x:c r="G1146" t="str">
        <x:v>V-501</x:v>
      </x:c>
      <x:c r="H1146" t="str">
        <x:v>deethanizer reflux drum</x:v>
      </x:c>
      <x:c r="I1146" t="str">
        <x:v>vessel</x:v>
      </x:c>
      <x:c r="J1146" t="str">
        <x:v>P3</x:v>
      </x:c>
      <x:c r="K1146" t="str">
        <x:v>TECO</x:v>
      </x:c>
      <x:c r="L1146" t="str">
        <x:v>OPS+INST</x:v>
      </x:c>
      <x:c r="M1146" t="str">
        <x:v>reboiler_duty_loss</x:v>
      </x:c>
      <x:c r="N1146" t="str">
        <x:v>boot drain leak</x:v>
      </x:c>
      <x:c r="O1146" t="str">
        <x:v>LEAK</x:v>
      </x:c>
      <x:c r="P1146" t="str">
        <x:v>VALVE</x:v>
      </x:c>
      <x:c r="Q1146" t="str">
        <x:v>N</x:v>
      </x:c>
      <x:c r="R1146" t="str">
        <x:v>4.9</x:v>
      </x:c>
      <x:c r="S1146" t="str">
        <x:v>1460.39</x:v>
      </x:c>
      <x:c r="T1146" t="str">
        <x:v>V-501 not ok after reboiler duty loss</x:v>
      </x:c>
      <x:c r="U1146" t="str">
        <x:v>A shift called for V-501 deethanizer rflx drum, steam/hm vavle no resp seen during reboiler duty loss. Foud boot drain leak; closed drain vavle passing. No spare in store at first, used refurb one from shop. opened strainer, cleaned black sludge. ops says ok for now. notif made by ops, maint attended same shift.</x:v>
      </x:c>
    </x:row>
    <x:row r="1147" ht="15" hidden="0" customHeight="1">
      <x:c r="A1147" t="str">
        <x:v>10451146</x:v>
      </x:c>
      <x:c r="B1147" t="str">
        <x:v>40871146</x:v>
      </x:c>
      <x:c r="C1147" t="str">
        <x:v>2025-12-31</x:v>
      </x:c>
      <x:c r="D1147" t="str">
        <x:v>2026-01-01</x:v>
      </x:c>
      <x:c r="E1147" t="str">
        <x:v>2026-01-15</x:v>
      </x:c>
      <x:c r="F1147" t="str">
        <x:v>U400-DEETHANIZER-500</x:v>
      </x:c>
      <x:c r="G1147" t="str">
        <x:v>E-502</x:v>
      </x:c>
      <x:c r="H1147" t="str">
        <x:v>deethanizer overhead condenser</x:v>
      </x:c>
      <x:c r="I1147" t="str">
        <x:v>condenser</x:v>
      </x:c>
      <x:c r="J1147" t="str">
        <x:v>P1</x:v>
      </x:c>
      <x:c r="K1147" t="str">
        <x:v>COMP</x:v>
      </x:c>
      <x:c r="L1147" t="str">
        <x:v>ANLYZR</x:v>
      </x:c>
      <x:c r="M1147" t="str">
        <x:v>reflux_pump_degradation</x:v>
      </x:c>
      <x:c r="N1147" t="str">
        <x:v>cw fouling</x:v>
      </x:c>
      <x:c r="O1147" t="str">
        <x:v>FOULING</x:v>
      </x:c>
      <x:c r="P1147" t="str">
        <x:v>UTILITY</x:v>
      </x:c>
      <x:c r="Q1147" t="str">
        <x:v>N</x:v>
      </x:c>
      <x:c r="R1147" t="str">
        <x:v>6.7</x:v>
      </x:c>
      <x:c r="S1147" t="str">
        <x:v>11503.68</x:v>
      </x:c>
      <x:c r="T1147" t="str">
        <x:v>E-502 not ok after reflux pump degradation</x:v>
      </x:c>
      <x:c r="U1147" t="str">
        <x:v>night called for E-502 deethanizer overhead condenser, disch press low seen during reflux pump degradation. Foud cw fouling; cw side scaled. No spare in store at first, used refurb one from shop. tightened fittings, leak test ok. need watch next feed swing. notif made by ops, maint attended same shift.</x:v>
      </x:c>
    </x:row>
    <x:row r="1148" ht="15" hidden="0" customHeight="1">
      <x:c r="A1148" t="str">
        <x:v>10451147</x:v>
      </x:c>
      <x:c r="B1148" t="str">
        <x:v>40871147</x:v>
      </x:c>
      <x:c r="C1148" t="str">
        <x:v>2026-01-04</x:v>
      </x:c>
      <x:c r="D1148" t="str">
        <x:v>2026-01-06</x:v>
      </x:c>
      <x:c r="E1148" t="str">
        <x:v>2026-01-09</x:v>
      </x:c>
      <x:c r="F1148" t="str">
        <x:v>U400-DEETHANIZER-500</x:v>
      </x:c>
      <x:c r="G1148" t="str">
        <x:v>TT-503</x:v>
      </x:c>
      <x:c r="H1148" t="str">
        <x:v>reboiler outlet temperature tx</x:v>
      </x:c>
      <x:c r="I1148" t="str">
        <x:v>instrument</x:v>
      </x:c>
      <x:c r="J1148" t="str">
        <x:v>P2</x:v>
      </x:c>
      <x:c r="K1148" t="str">
        <x:v>TECO</x:v>
      </x:c>
      <x:c r="L1148" t="str">
        <x:v>INST</x:v>
      </x:c>
      <x:c r="M1148" t="str">
        <x:v>reboiler_duty_loss</x:v>
      </x:c>
      <x:c r="N1148" t="str">
        <x:v>loose wire</x:v>
      </x:c>
      <x:c r="O1148" t="str">
        <x:v>SIGNAL</x:v>
      </x:c>
      <x:c r="P1148" t="str">
        <x:v>ELEC</x:v>
      </x:c>
      <x:c r="Q1148" t="str">
        <x:v>Y</x:v>
      </x:c>
      <x:c r="R1148" t="str">
        <x:v>19.3</x:v>
      </x:c>
      <x:c r="S1148" t="str">
        <x:v>3837.19</x:v>
      </x:c>
      <x:c r="T1148" t="str">
        <x:v>TT-503 c2 in btm, loose wire</x:v>
      </x:c>
      <x:c r="U1148" t="str">
        <x:v>days called for TT-503 reboiler outlet temp tx, low heat seen during reboiler duty loss. Foud loose wire; term loose. reset trip and monitored for 2 hrs. still little hunting but acceptable. notif made by ops, maint attended same shift.</x:v>
      </x:c>
    </x:row>
    <x:row r="1149" ht="15" hidden="0" customHeight="1">
      <x:c r="A1149" t="str">
        <x:v>10451148</x:v>
      </x:c>
      <x:c r="B1149" t="str">
        <x:v>40871148</x:v>
      </x:c>
      <x:c r="C1149" t="str">
        <x:v>2026-01-03</x:v>
      </x:c>
      <x:c r="D1149" t="str">
        <x:v>2026-01-04</x:v>
      </x:c>
      <x:c r="E1149" t="str">
        <x:v>2026-01-09</x:v>
      </x:c>
      <x:c r="F1149" t="str">
        <x:v>U400-DEETHANIZER-500</x:v>
      </x:c>
      <x:c r="G1149" t="str">
        <x:v>E-502</x:v>
      </x:c>
      <x:c r="H1149" t="str">
        <x:v>deethanizer overhead condenser</x:v>
      </x:c>
      <x:c r="I1149" t="str">
        <x:v>condenser</x:v>
      </x:c>
      <x:c r="J1149" t="str">
        <x:v>P2</x:v>
      </x:c>
      <x:c r="K1149" t="str">
        <x:v>COMP</x:v>
      </x:c>
      <x:c r="L1149" t="str">
        <x:v>E&amp;I</x:v>
      </x:c>
      <x:c r="M1149" t="str">
        <x:v>valve_stiction</x:v>
      </x:c>
      <x:c r="N1149" t="str">
        <x:v>tube leak sus</x:v>
      </x:c>
      <x:c r="O1149" t="str">
        <x:v>LEAK</x:v>
      </x:c>
      <x:c r="P1149" t="str">
        <x:v>TUBE</x:v>
      </x:c>
      <x:c r="Q1149" t="str">
        <x:v>N</x:v>
      </x:c>
      <x:c r="R1149" t="str">
        <x:v>2.3</x:v>
      </x:c>
      <x:c r="S1149" t="str">
        <x:v>389.57</x:v>
      </x:c>
      <x:c r="T1149" t="str">
        <x:v>E-502 position bad, tube leak sus</x:v>
      </x:c>
      <x:c r="U1149" t="str">
        <x:v>A shift called for E-502 deethanizer overhead condenser, position bad seen during vavle stiction. Foud tube leak sus; hydrotest reqd. Line was hot so job done slow and with ops standing by. replaced positioner tubing and retuned small. still little hunting but acceptable. notif made by ops, maint attended same shift.</x:v>
      </x:c>
    </x:row>
    <x:row r="1150" ht="15" hidden="0" customHeight="1">
      <x:c r="A1150" t="str">
        <x:v>10451149</x:v>
      </x:c>
      <x:c r="B1150" t="str">
        <x:v>40871149</x:v>
      </x:c>
      <x:c r="C1150" t="str">
        <x:v>2026-01-06</x:v>
      </x:c>
      <x:c r="D1150" t="str">
        <x:v>2026-01-06</x:v>
      </x:c>
      <x:c r="E1150" t="str">
        <x:v>2026-01-08</x:v>
      </x:c>
      <x:c r="F1150" t="str">
        <x:v>U400-DEETHANIZER-500</x:v>
      </x:c>
      <x:c r="G1150" t="str">
        <x:v>TV-502</x:v>
      </x:c>
      <x:c r="H1150" t="str">
        <x:v>condenser cooling valve</x:v>
      </x:c>
      <x:c r="I1150" t="str">
        <x:v>control_valve</x:v>
      </x:c>
      <x:c r="J1150" t="str">
        <x:v>P4</x:v>
      </x:c>
      <x:c r="K1150" t="str">
        <x:v>COMP</x:v>
      </x:c>
      <x:c r="L1150" t="str">
        <x:v>OPS+INST</x:v>
      </x:c>
      <x:c r="M1150" t="str">
        <x:v>valve_stiction</x:v>
      </x:c>
      <x:c r="N1150" t="str">
        <x:v>hunting loop</x:v>
      </x:c>
      <x:c r="O1150" t="str">
        <x:v>CTRL_OSC</x:v>
      </x:c>
      <x:c r="P1150" t="str">
        <x:v>TUNE</x:v>
      </x:c>
      <x:c r="Q1150" t="str">
        <x:v>N</x:v>
      </x:c>
      <x:c r="R1150" t="str">
        <x:v>6.3</x:v>
      </x:c>
      <x:c r="S1150" t="str">
        <x:v>5722.82</x:v>
      </x:c>
      <x:c r="T1150" t="str">
        <x:v>TV-502 hunting loop again, prod upset</x:v>
      </x:c>
      <x:c r="U1150" t="str">
        <x:v>night called for TV-502 condenser cooling valve, loop cycling seen during valve stiction. Foud hunting loop; bad response after upset. Line was hot so job done slow and with ops standing by. cleaned and put back online. readng close to dcs after job. notif made by ops, maint attended same shift.</x:v>
      </x:c>
    </x:row>
    <x:row r="1151" ht="15" hidden="0" customHeight="1">
      <x:c r="A1151" t="str">
        <x:v>10451150</x:v>
      </x:c>
      <x:c r="B1151" t="str">
        <x:v>40871150</x:v>
      </x:c>
      <x:c r="C1151" t="str">
        <x:v>2026-01-06</x:v>
      </x:c>
      <x:c r="D1151" t="str">
        <x:v>2026-01-07</x:v>
      </x:c>
      <x:c r="E1151" t="str">
        <x:v>2026-01-14</x:v>
      </x:c>
      <x:c r="F1151" t="str">
        <x:v>U400-DEETHANIZER-500</x:v>
      </x:c>
      <x:c r="G1151" t="str">
        <x:v>E-501</x:v>
      </x:c>
      <x:c r="H1151" t="str">
        <x:v>deethanizer reboiler</x:v>
      </x:c>
      <x:c r="I1151" t="str">
        <x:v>reboiler</x:v>
      </x:c>
      <x:c r="J1151" t="str">
        <x:v>P2</x:v>
      </x:c>
      <x:c r="K1151" t="str">
        <x:v>COMP</x:v>
      </x:c>
      <x:c r="L1151" t="str">
        <x:v>ANLYZR</x:v>
      </x:c>
      <x:c r="M1151" t="str">
        <x:v>feed_temperature_ramp</x:v>
      </x:c>
      <x:c r="N1151" t="str">
        <x:v>low duty</x:v>
      </x:c>
      <x:c r="O1151" t="str">
        <x:v>DUTY_LOSS</x:v>
      </x:c>
      <x:c r="P1151" t="str">
        <x:v>UTILITY</x:v>
      </x:c>
      <x:c r="Q1151" t="str">
        <x:v>N</x:v>
      </x:c>
      <x:c r="R1151" t="str">
        <x:v>10.7</x:v>
      </x:c>
      <x:c r="S1151" t="str">
        <x:v>3604.66</x:v>
      </x:c>
      <x:c r="T1151" t="str">
        <x:v>E-501 not ok after feed temperature ramp</x:v>
      </x:c>
      <x:c r="U1151" t="str">
        <x:v>C shift called for E-501 deethanizer reboiler, spec off seen during feed temp ramp. Foud low duty; hm valve/strainer issue. History shows same complain last mnth. flushed impulse/sample line. temp repair only, plan shutdown job. notif made by ops, maint attended same shift.</x:v>
      </x:c>
    </x:row>
    <x:row r="1152" ht="15" hidden="0" customHeight="1">
      <x:c r="A1152" t="str">
        <x:v>10451151</x:v>
      </x:c>
      <x:c r="B1152" t="str">
        <x:v>40871151</x:v>
      </x:c>
      <x:c r="C1152" t="str">
        <x:v>2026-01-07</x:v>
      </x:c>
      <x:c r="D1152" t="str">
        <x:v>2026-01-08</x:v>
      </x:c>
      <x:c r="E1152" t="str">
        <x:v>2026-01-10</x:v>
      </x:c>
      <x:c r="F1152" t="str">
        <x:v>U400-DEETHANIZER-500</x:v>
      </x:c>
      <x:c r="G1152" t="str">
        <x:v>P-502A</x:v>
      </x:c>
      <x:c r="H1152" t="str">
        <x:v>bottoms pump A</x:v>
      </x:c>
      <x:c r="I1152" t="str">
        <x:v>pump</x:v>
      </x:c>
      <x:c r="J1152" t="str">
        <x:v>P3</x:v>
      </x:c>
      <x:c r="K1152" t="str">
        <x:v>COMP</x:v>
      </x:c>
      <x:c r="L1152" t="str">
        <x:v>INST</x:v>
      </x:c>
      <x:c r="M1152" t="str">
        <x:v>normal_wear</x:v>
      </x:c>
      <x:c r="N1152" t="str">
        <x:v>bearing hot</x:v>
      </x:c>
      <x:c r="O1152" t="str">
        <x:v>BRG</x:v>
      </x:c>
      <x:c r="P1152" t="str">
        <x:v>WEAR</x:v>
      </x:c>
      <x:c r="Q1152" t="str">
        <x:v>N</x:v>
      </x:c>
      <x:c r="R1152" t="str">
        <x:v>17.9</x:v>
      </x:c>
      <x:c r="S1152" t="str">
        <x:v>2650.43</x:v>
      </x:c>
      <x:c r="T1152" t="str">
        <x:v>P-502A bearing hot again, prod upset</x:v>
      </x:c>
      <x:c r="U1152" t="str">
        <x:v>days called for P-502A bottoms pump A, loose term seen during normal wear. Foud bearing hot; brg rough, lube dark. Tag plate dirty, confirmd by line up with panel. changed gasket and boxed up. unit stable now. notif made by ops, maint attended same shift.</x:v>
      </x:c>
    </x:row>
    <x:row r="1153" ht="15" hidden="0" customHeight="1">
      <x:c r="A1153" t="str">
        <x:v>10451152</x:v>
      </x:c>
      <x:c r="B1153" t="str">
        <x:v>40871152</x:v>
      </x:c>
      <x:c r="C1153" t="str">
        <x:v>2026-01-10</x:v>
      </x:c>
      <x:c r="D1153" t="str">
        <x:v>2026-01-10</x:v>
      </x:c>
      <x:c r="E1153" t="str">
        <x:v>2026-01-12</x:v>
      </x:c>
      <x:c r="F1153" t="str">
        <x:v>U400-DEETHANIZER-500</x:v>
      </x:c>
      <x:c r="G1153" t="str">
        <x:v>P-501B</x:v>
      </x:c>
      <x:c r="H1153" t="str">
        <x:v>reflux pump B</x:v>
      </x:c>
      <x:c r="I1153" t="str">
        <x:v>pump</x:v>
      </x:c>
      <x:c r="J1153" t="str">
        <x:v>P2</x:v>
      </x:c>
      <x:c r="K1153" t="str">
        <x:v>CLSD</x:v>
      </x:c>
      <x:c r="L1153" t="str">
        <x:v>MECH</x:v>
      </x:c>
      <x:c r="M1153" t="str">
        <x:v>feed_flow_step</x:v>
      </x:c>
      <x:c r="N1153" t="str">
        <x:v>bearing hot</x:v>
      </x:c>
      <x:c r="O1153" t="str">
        <x:v>BRG</x:v>
      </x:c>
      <x:c r="P1153" t="str">
        <x:v>WEAR</x:v>
      </x:c>
      <x:c r="Q1153" t="str">
        <x:v>N</x:v>
      </x:c>
      <x:c r="R1153" t="str">
        <x:v>6.2</x:v>
      </x:c>
      <x:c r="S1153" t="str">
        <x:v>5351.14</x:v>
      </x:c>
      <x:c r="T1153" t="str">
        <x:v>P-501B not ok after feed flow step</x:v>
      </x:c>
      <x:c r="U1153" t="str">
        <x:v>days called for P-501B reflux pump B, c2 recov down seen during feed flow step. Foud bearing hot; brg rough, lube dark. Tag plate dirty, confirmd by line up with panel. swapped to standby and repaired. unit stable now. notif made by ops, maint attended same shift.</x:v>
      </x:c>
    </x:row>
    <x:row r="1154" ht="15" hidden="0" customHeight="1">
      <x:c r="A1154" t="str">
        <x:v>10451153</x:v>
      </x:c>
      <x:c r="B1154" t="str">
        <x:v>40871153</x:v>
      </x:c>
      <x:c r="C1154" t="str">
        <x:v>2026-01-07</x:v>
      </x:c>
      <x:c r="D1154" t="str">
        <x:v>2026-01-07</x:v>
      </x:c>
      <x:c r="E1154" t="str">
        <x:v>2026-01-07</x:v>
      </x:c>
      <x:c r="F1154" t="str">
        <x:v>U400-DEETHANIZER-500</x:v>
      </x:c>
      <x:c r="G1154" t="str">
        <x:v>P-502B</x:v>
      </x:c>
      <x:c r="H1154" t="str">
        <x:v>bottoms pump B</x:v>
      </x:c>
      <x:c r="I1154" t="str">
        <x:v>pump</x:v>
      </x:c>
      <x:c r="J1154" t="str">
        <x:v>P3</x:v>
      </x:c>
      <x:c r="K1154" t="str">
        <x:v>CLSD</x:v>
      </x:c>
      <x:c r="L1154" t="str">
        <x:v>ROT</x:v>
      </x:c>
      <x:c r="M1154" t="str">
        <x:v>reboiler_duty_loss</x:v>
      </x:c>
      <x:c r="N1154" t="str">
        <x:v>low disch press</x:v>
      </x:c>
      <x:c r="O1154" t="str">
        <x:v>HYD_LOSS</x:v>
      </x:c>
      <x:c r="P1154" t="str">
        <x:v>FOUL</x:v>
      </x:c>
      <x:c r="Q1154" t="str">
        <x:v>N</x:v>
      </x:c>
      <x:c r="R1154" t="str">
        <x:v>12.4</x:v>
      </x:c>
      <x:c r="S1154" t="str">
        <x:v>14375.2</x:v>
      </x:c>
      <x:c r="T1154" t="str">
        <x:v>P-502B low disch press pls chk</x:v>
      </x:c>
      <x:c r="U1154" t="str">
        <x:v>A shift called for P-502B bottoms pump B, c2 in btm seen during reboiler duty loss. Foud low disch press; strainer dirty or impeller wear. Tag plate dirty, confirmd by line up with panel. stroke tested, response better. readng close to dcs after job. notif made by ops, maint attended same shift.</x:v>
      </x:c>
    </x:row>
    <x:row r="1155" ht="15" hidden="0" customHeight="1">
      <x:c r="A1155" t="str">
        <x:v>10451154</x:v>
      </x:c>
      <x:c r="B1155" t="str">
        <x:v>40871154</x:v>
      </x:c>
      <x:c r="C1155" t="str">
        <x:v>2026-01-11</x:v>
      </x:c>
      <x:c r="D1155" t="str">
        <x:v>2026-01-12</x:v>
      </x:c>
      <x:c r="E1155" t="str">
        <x:v>2026-01-12</x:v>
      </x:c>
      <x:c r="F1155" t="str">
        <x:v>U400-DEETHANIZER-500</x:v>
      </x:c>
      <x:c r="G1155" t="str">
        <x:v>TV-501</x:v>
      </x:c>
      <x:c r="H1155" t="str">
        <x:v>reboiler hot medium valve</x:v>
      </x:c>
      <x:c r="I1155" t="str">
        <x:v>control_valve</x:v>
      </x:c>
      <x:c r="J1155" t="str">
        <x:v>P1</x:v>
      </x:c>
      <x:c r="K1155" t="str">
        <x:v>CLSD</x:v>
      </x:c>
      <x:c r="L1155" t="str">
        <x:v>MECH</x:v>
      </x:c>
      <x:c r="M1155" t="str">
        <x:v>valve_stiction</x:v>
      </x:c>
      <x:c r="N1155" t="str">
        <x:v>air leak</x:v>
      </x:c>
      <x:c r="O1155" t="str">
        <x:v>AIR_LEAK</x:v>
      </x:c>
      <x:c r="P1155" t="str">
        <x:v>TUBING</x:v>
      </x:c>
      <x:c r="Q1155" t="str">
        <x:v>N</x:v>
      </x:c>
      <x:c r="R1155" t="str">
        <x:v>13.8</x:v>
      </x:c>
      <x:c r="S1155" t="str">
        <x:v>208.59</x:v>
      </x:c>
      <x:c r="T1155" t="str">
        <x:v>TV-501 valve sticking, air leak</x:v>
      </x:c>
      <x:c r="U1155" t="str">
        <x:v>night called for TV-501 reboiler hot medium valve, op jumps seen during valve stiction. Foud air leak; positioner supply drop. cleaned and put back online. unit stable now. notif made by ops, maint attended same shift.</x:v>
      </x:c>
    </x:row>
    <x:row r="1156" ht="15" hidden="0" customHeight="1">
      <x:c r="A1156" t="str">
        <x:v>10451155</x:v>
      </x:c>
      <x:c r="B1156" t="str">
        <x:v>40871155</x:v>
      </x:c>
      <x:c r="C1156" t="str">
        <x:v>2026-01-12</x:v>
      </x:c>
      <x:c r="D1156" t="str">
        <x:v>2026-01-12</x:v>
      </x:c>
      <x:c r="E1156" t="str">
        <x:v>2026-01-12</x:v>
      </x:c>
      <x:c r="F1156" t="str">
        <x:v>U400-DEETHANIZER-500</x:v>
      </x:c>
      <x:c r="G1156" t="str">
        <x:v>FT-502</x:v>
      </x:c>
      <x:c r="H1156" t="str">
        <x:v>reflux flow transmitter</x:v>
      </x:c>
      <x:c r="I1156" t="str">
        <x:v>instrument</x:v>
      </x:c>
      <x:c r="J1156" t="str">
        <x:v>P3</x:v>
      </x:c>
      <x:c r="K1156" t="str">
        <x:v>CLSD</x:v>
      </x:c>
      <x:c r="L1156" t="str">
        <x:v>OPS+INST</x:v>
      </x:c>
      <x:c r="M1156" t="str">
        <x:v>feed_temperature_ramp</x:v>
      </x:c>
      <x:c r="N1156" t="str">
        <x:v>loose wire</x:v>
      </x:c>
      <x:c r="O1156" t="str">
        <x:v>SIGNAL</x:v>
      </x:c>
      <x:c r="P1156" t="str">
        <x:v>ELEC</x:v>
      </x:c>
      <x:c r="Q1156" t="str">
        <x:v>N</x:v>
      </x:c>
      <x:c r="R1156" t="str">
        <x:v>1.4</x:v>
      </x:c>
      <x:c r="S1156" t="str">
        <x:v>6612.23</x:v>
      </x:c>
      <x:c r="T1156" t="str">
        <x:v>FT-502 loose wire again, prod upset</x:v>
      </x:c>
      <x:c r="U1156" t="str">
        <x:v>C shift called for FT-502 reflux flow transmitter, feed temp high seen during feed temperature ramp. Foud loose wire; term loose. stroke tested, response better. ops says ok for now. notif made by ops, maint attended same shift.</x:v>
      </x:c>
    </x:row>
    <x:row r="1157" ht="15" hidden="0" customHeight="1">
      <x:c r="A1157" t="str">
        <x:v>10451156</x:v>
      </x:c>
      <x:c r="B1157" t="str">
        <x:v>40871156</x:v>
      </x:c>
      <x:c r="C1157" t="str">
        <x:v>2026-01-14</x:v>
      </x:c>
      <x:c r="D1157" t="str">
        <x:v>2026-01-16</x:v>
      </x:c>
      <x:c r="E1157" t="str">
        <x:v>2026-01-21</x:v>
      </x:c>
      <x:c r="F1157" t="str">
        <x:v>U400-DEETHANIZER-500</x:v>
      </x:c>
      <x:c r="G1157" t="str">
        <x:v>PV-501</x:v>
      </x:c>
      <x:c r="H1157" t="str">
        <x:v>column pressure control valve</x:v>
      </x:c>
      <x:c r="I1157" t="str">
        <x:v>control_valve</x:v>
      </x:c>
      <x:c r="J1157" t="str">
        <x:v>P2</x:v>
      </x:c>
      <x:c r="K1157" t="str">
        <x:v>TECO</x:v>
      </x:c>
      <x:c r="L1157" t="str">
        <x:v>ROT</x:v>
      </x:c>
      <x:c r="M1157" t="str">
        <x:v>valve_stiction</x:v>
      </x:c>
      <x:c r="N1157" t="str">
        <x:v>not stroking</x:v>
      </x:c>
      <x:c r="O1157" t="str">
        <x:v>NO_TRAVEL</x:v>
      </x:c>
      <x:c r="P1157" t="str">
        <x:v>ACT</x:v>
      </x:c>
      <x:c r="Q1157" t="str">
        <x:v>N</x:v>
      </x:c>
      <x:c r="R1157" t="str">
        <x:v>16.2</x:v>
      </x:c>
      <x:c r="S1157" t="str">
        <x:v>671.64</x:v>
      </x:c>
      <x:c r="T1157" t="str">
        <x:v>PV-501 not stroking again, prod upset</x:v>
      </x:c>
      <x:c r="U1157" t="str">
        <x:v>C shift called for PV-501 column pressure control valve, valve sticking seen during valve stiction. Foud not stroking; actuator weak. calibrated, loop checked with CCR. ops says ok for now. notif made by ops, maint attended same shift.</x:v>
      </x:c>
    </x:row>
    <x:row r="1158" ht="15" hidden="0" customHeight="1">
      <x:c r="A1158" t="str">
        <x:v>10451157</x:v>
      </x:c>
      <x:c r="B1158" t="str">
        <x:v>40871157</x:v>
      </x:c>
      <x:c r="C1158" t="str">
        <x:v>2026-01-14</x:v>
      </x:c>
      <x:c r="D1158" t="str">
        <x:v>2026-01-15</x:v>
      </x:c>
      <x:c r="E1158" t="str">
        <x:v>2026-01-15</x:v>
      </x:c>
      <x:c r="F1158" t="str">
        <x:v>U400-DEETHANIZER-500</x:v>
      </x:c>
      <x:c r="G1158" t="str">
        <x:v>TT-503</x:v>
      </x:c>
      <x:c r="H1158" t="str">
        <x:v>reboiler outlet temperature tx</x:v>
      </x:c>
      <x:c r="I1158" t="str">
        <x:v>instrument</x:v>
      </x:c>
      <x:c r="J1158" t="str">
        <x:v>P4</x:v>
      </x:c>
      <x:c r="K1158" t="str">
        <x:v>CLSD</x:v>
      </x:c>
      <x:c r="L1158" t="str">
        <x:v>INST</x:v>
      </x:c>
      <x:c r="M1158" t="str">
        <x:v>reboiler_duty_loss</x:v>
      </x:c>
      <x:c r="N1158" t="str">
        <x:v>impulse plugged</x:v>
      </x:c>
      <x:c r="O1158" t="str">
        <x:v>PLUG</x:v>
      </x:c>
      <x:c r="P1158" t="str">
        <x:v>PROCESS</x:v>
      </x:c>
      <x:c r="Q1158" t="str">
        <x:v>N</x:v>
      </x:c>
      <x:c r="R1158" t="str">
        <x:v>3.0</x:v>
      </x:c>
      <x:c r="S1158" t="str">
        <x:v>1942.61</x:v>
      </x:c>
      <x:c r="T1158" t="str">
        <x:v>TT-503 not ok after reboiler duty loss</x:v>
      </x:c>
      <x:c r="U1158" t="str">
        <x:v>B shift called for TT-503 reboiler outlet temp tx, tray temp low seen during reboiler duty loss. Foud impulse plugged; tap/line dirty. reset trip and monitored for 2 hrs. still little hunting but acceptable. notif made by ops, maint attended same shift.</x:v>
      </x:c>
    </x:row>
    <x:row r="1159" ht="15" hidden="0" customHeight="1">
      <x:c r="A1159" t="str">
        <x:v>10451158</x:v>
      </x:c>
      <x:c r="B1159" t="str">
        <x:v>40871158</x:v>
      </x:c>
      <x:c r="C1159" t="str">
        <x:v>2026-01-20</x:v>
      </x:c>
      <x:c r="D1159" t="str">
        <x:v>2026-01-20</x:v>
      </x:c>
      <x:c r="E1159" t="str">
        <x:v>2026-01-22</x:v>
      </x:c>
      <x:c r="F1159" t="str">
        <x:v>U400-DEETHANIZER-500</x:v>
      </x:c>
      <x:c r="G1159" t="str">
        <x:v>E-503</x:v>
      </x:c>
      <x:c r="H1159" t="str">
        <x:v>feed bottoms exchanger</x:v>
      </x:c>
      <x:c r="I1159" t="str">
        <x:v>exchanger</x:v>
      </x:c>
      <x:c r="J1159" t="str">
        <x:v>P4</x:v>
      </x:c>
      <x:c r="K1159" t="str">
        <x:v>COMP</x:v>
      </x:c>
      <x:c r="L1159" t="str">
        <x:v>INST</x:v>
      </x:c>
      <x:c r="M1159" t="str">
        <x:v>feed_composition_shift</x:v>
      </x:c>
      <x:c r="N1159" t="str">
        <x:v>tube fouling</x:v>
      </x:c>
      <x:c r="O1159" t="str">
        <x:v>FOULING</x:v>
      </x:c>
      <x:c r="P1159" t="str">
        <x:v>PROCESS</x:v>
      </x:c>
      <x:c r="Q1159" t="str">
        <x:v>N</x:v>
      </x:c>
      <x:c r="R1159" t="str">
        <x:v>11.9</x:v>
      </x:c>
      <x:c r="S1159" t="str">
        <x:v>17025.49</x:v>
      </x:c>
      <x:c r="T1159" t="str">
        <x:v>chk E-503 - tube fouling frm ops</x:v>
      </x:c>
      <x:c r="U1159" t="str">
        <x:v>night called for E-503 feed bottoms exchanger, ovhd c3 slip seen during feed composition shift. Foud tube fouling; duty low, delta t poor. stroke tested, response better. temp repair only, plan shutdown job. notif made by ops, maint attended same shift.</x:v>
      </x:c>
    </x:row>
    <x:row r="1160" ht="15" hidden="0" customHeight="1">
      <x:c r="A1160" t="str">
        <x:v>10451159</x:v>
      </x:c>
      <x:c r="B1160" t="str">
        <x:v>40871159</x:v>
      </x:c>
      <x:c r="C1160" t="str">
        <x:v>2026-01-16</x:v>
      </x:c>
      <x:c r="D1160" t="str">
        <x:v>2026-01-17</x:v>
      </x:c>
      <x:c r="E1160" t="str">
        <x:v>2026-01-18</x:v>
      </x:c>
      <x:c r="F1160" t="str">
        <x:v>U400-DEETHANIZER-500</x:v>
      </x:c>
      <x:c r="G1160" t="str">
        <x:v>TV-502</x:v>
      </x:c>
      <x:c r="H1160" t="str">
        <x:v>condenser cooling valve</x:v>
      </x:c>
      <x:c r="I1160" t="str">
        <x:v>control_valve</x:v>
      </x:c>
      <x:c r="J1160" t="str">
        <x:v>P3</x:v>
      </x:c>
      <x:c r="K1160" t="str">
        <x:v>TECO</x:v>
      </x:c>
      <x:c r="L1160" t="str">
        <x:v>MECH</x:v>
      </x:c>
      <x:c r="M1160" t="str">
        <x:v>valve_stiction</x:v>
      </x:c>
      <x:c r="N1160" t="str">
        <x:v>hunting loop</x:v>
      </x:c>
      <x:c r="O1160" t="str">
        <x:v>CTRL_OSC</x:v>
      </x:c>
      <x:c r="P1160" t="str">
        <x:v>TUNE</x:v>
      </x:c>
      <x:c r="Q1160" t="str">
        <x:v>N</x:v>
      </x:c>
      <x:c r="R1160" t="str">
        <x:v>11.2</x:v>
      </x:c>
      <x:c r="S1160" t="str">
        <x:v>1541.59</x:v>
      </x:c>
      <x:c r="T1160" t="str">
        <x:v>chk TV-502 - hunting loop frm ops</x:v>
      </x:c>
      <x:c r="U1160" t="str">
        <x:v>C shift called for TV-502 condenser cooling valve, air leak seen during valve stiction. Foud hunting loop; bad response after upset. Could not get permit first time waiting area gas test. cleaned and put back online. need watch next feed swing. notif made by ops, maint attended same shift.</x:v>
      </x:c>
    </x:row>
    <x:row r="1161" ht="15" hidden="0" customHeight="1">
      <x:c r="A1161" t="str">
        <x:v>10451160</x:v>
      </x:c>
      <x:c r="B1161" t="str">
        <x:v>40871160</x:v>
      </x:c>
      <x:c r="C1161" t="str">
        <x:v>2026-01-21</x:v>
      </x:c>
      <x:c r="D1161" t="str">
        <x:v>2026-01-21</x:v>
      </x:c>
      <x:c r="E1161" t="str">
        <x:v>2026-01-26</x:v>
      </x:c>
      <x:c r="F1161" t="str">
        <x:v>U400-DEETHANIZER-500</x:v>
      </x:c>
      <x:c r="G1161" t="str">
        <x:v>FV-502</x:v>
      </x:c>
      <x:c r="H1161" t="str">
        <x:v>reflux flow control valve</x:v>
      </x:c>
      <x:c r="I1161" t="str">
        <x:v>control_valve</x:v>
      </x:c>
      <x:c r="J1161" t="str">
        <x:v>P3</x:v>
      </x:c>
      <x:c r="K1161" t="str">
        <x:v>CLSD</x:v>
      </x:c>
      <x:c r="L1161" t="str">
        <x:v>INST</x:v>
      </x:c>
      <x:c r="M1161" t="str">
        <x:v>valve_stiction</x:v>
      </x:c>
      <x:c r="N1161" t="str">
        <x:v>not stroking</x:v>
      </x:c>
      <x:c r="O1161" t="str">
        <x:v>NO_TRAVEL</x:v>
      </x:c>
      <x:c r="P1161" t="str">
        <x:v>ACT</x:v>
      </x:c>
      <x:c r="Q1161" t="str">
        <x:v>N</x:v>
      </x:c>
      <x:c r="R1161" t="str">
        <x:v>2.3</x:v>
      </x:c>
      <x:c r="S1161" t="str">
        <x:v>5743.99</x:v>
      </x:c>
      <x:c r="T1161" t="str">
        <x:v>FV-502 not ok after valve stiction</x:v>
      </x:c>
      <x:c r="U1161" t="str">
        <x:v>C shift called for FV-502 reflux flow control valve, loop cycling seen during valve stiction. Foud not stroking; actuator weak. swapped to standby and repaired. unit stable now. notif made by ops, maint attended same shift.</x:v>
      </x:c>
    </x:row>
    <x:row r="1162" ht="15" hidden="0" customHeight="1">
      <x:c r="A1162" t="str">
        <x:v>10451161</x:v>
      </x:c>
      <x:c r="B1162" t="str">
        <x:v>40871161</x:v>
      </x:c>
      <x:c r="C1162" t="str">
        <x:v>2026-01-24</x:v>
      </x:c>
      <x:c r="D1162" t="str">
        <x:v>2026-01-25</x:v>
      </x:c>
      <x:c r="E1162" t="str">
        <x:v>2026-01-27</x:v>
      </x:c>
      <x:c r="F1162" t="str">
        <x:v>U400-DEETHANIZER-500</x:v>
      </x:c>
      <x:c r="G1162" t="str">
        <x:v>TV-502</x:v>
      </x:c>
      <x:c r="H1162" t="str">
        <x:v>condenser cooling valve</x:v>
      </x:c>
      <x:c r="I1162" t="str">
        <x:v>control_valve</x:v>
      </x:c>
      <x:c r="J1162" t="str">
        <x:v>P2</x:v>
      </x:c>
      <x:c r="K1162" t="str">
        <x:v>COMP</x:v>
      </x:c>
      <x:c r="L1162" t="str">
        <x:v>ANLYZR</x:v>
      </x:c>
      <x:c r="M1162" t="str">
        <x:v>condenser_fouling</x:v>
      </x:c>
      <x:c r="N1162" t="str">
        <x:v>air leak</x:v>
      </x:c>
      <x:c r="O1162" t="str">
        <x:v>AIR_LEAK</x:v>
      </x:c>
      <x:c r="P1162" t="str">
        <x:v>TUBING</x:v>
      </x:c>
      <x:c r="Q1162" t="str">
        <x:v>N</x:v>
      </x:c>
      <x:c r="R1162" t="str">
        <x:v>14.1</x:v>
      </x:c>
      <x:c r="S1162" t="str">
        <x:v>726.96</x:v>
      </x:c>
      <x:c r="T1162" t="str">
        <x:v>TV-502 not ok after condenser fouling</x:v>
      </x:c>
      <x:c r="U1162" t="str">
        <x:v>night called for TV-502 condnsr cooling valve, cw dt low seen during condnsr fouling. Foud air leak; positioner supply drop. changed gasket and boxed up. ops says ok for now. notif made by ops, maint attended same shift.</x:v>
      </x:c>
    </x:row>
    <x:row r="1163" ht="15" hidden="0" customHeight="1">
      <x:c r="A1163" t="str">
        <x:v>10451162</x:v>
      </x:c>
      <x:c r="B1163" t="str">
        <x:v>40871162</x:v>
      </x:c>
      <x:c r="C1163" t="str">
        <x:v>2026-01-21</x:v>
      </x:c>
      <x:c r="D1163" t="str">
        <x:v>2026-01-21</x:v>
      </x:c>
      <x:c r="E1163" t="str">
        <x:v>2026-01-21</x:v>
      </x:c>
      <x:c r="F1163" t="str">
        <x:v>U400-DEETHANIZER-500</x:v>
      </x:c>
      <x:c r="G1163" t="str">
        <x:v>P-501A</x:v>
      </x:c>
      <x:c r="H1163" t="str">
        <x:v>reflux pump A</x:v>
      </x:c>
      <x:c r="I1163" t="str">
        <x:v>pump</x:v>
      </x:c>
      <x:c r="J1163" t="str">
        <x:v>P3</x:v>
      </x:c>
      <x:c r="K1163" t="str">
        <x:v>CLSD</x:v>
      </x:c>
      <x:c r="L1163" t="str">
        <x:v>VALVE</x:v>
      </x:c>
      <x:c r="M1163" t="str">
        <x:v>reflux_pump_degradation</x:v>
      </x:c>
      <x:c r="N1163" t="str">
        <x:v>low disch press</x:v>
      </x:c>
      <x:c r="O1163" t="str">
        <x:v>HYD_LOSS</x:v>
      </x:c>
      <x:c r="P1163" t="str">
        <x:v>FOUL</x:v>
      </x:c>
      <x:c r="Q1163" t="str">
        <x:v>N</x:v>
      </x:c>
      <x:c r="R1163" t="str">
        <x:v>14.3</x:v>
      </x:c>
      <x:c r="S1163" t="str">
        <x:v>9157.32</x:v>
      </x:c>
      <x:c r="T1163" t="str">
        <x:v>chk P-501A - low disch press frm ops</x:v>
      </x:c>
      <x:c r="U1163" t="str">
        <x:v>C shift called for P-501A reflux pump A, pump vib seen during reflux pump degradation. Foud low disch press; strainer dirty or impeller wear. History shows same complain last mnth. cleaned and put back online. readng close to dcs after job. notif made by ops, maint attended same shift.</x:v>
      </x:c>
    </x:row>
    <x:row r="1164" ht="15" hidden="0" customHeight="1">
      <x:c r="A1164" t="str">
        <x:v>10451163</x:v>
      </x:c>
      <x:c r="B1164" t="str">
        <x:v>40871163</x:v>
      </x:c>
      <x:c r="C1164" t="str">
        <x:v>2026-01-25</x:v>
      </x:c>
      <x:c r="D1164" t="str">
        <x:v>2026-01-26</x:v>
      </x:c>
      <x:c r="E1164" t="str">
        <x:v>2026-01-27</x:v>
      </x:c>
      <x:c r="F1164" t="str">
        <x:v>U400-DEETHANIZER-500</x:v>
      </x:c>
      <x:c r="G1164" t="str">
        <x:v>E-503</x:v>
      </x:c>
      <x:c r="H1164" t="str">
        <x:v>feed bottoms exchanger</x:v>
      </x:c>
      <x:c r="I1164" t="str">
        <x:v>exchanger</x:v>
      </x:c>
      <x:c r="J1164" t="str">
        <x:v>P3</x:v>
      </x:c>
      <x:c r="K1164" t="str">
        <x:v>COMP</x:v>
      </x:c>
      <x:c r="L1164" t="str">
        <x:v>E&amp;I</x:v>
      </x:c>
      <x:c r="M1164" t="str">
        <x:v>feed_flow_step</x:v>
      </x:c>
      <x:c r="N1164" t="str">
        <x:v>tube fouling</x:v>
      </x:c>
      <x:c r="O1164" t="str">
        <x:v>FOULING</x:v>
      </x:c>
      <x:c r="P1164" t="str">
        <x:v>PROCESS</x:v>
      </x:c>
      <x:c r="Q1164" t="str">
        <x:v>N</x:v>
      </x:c>
      <x:c r="R1164" t="str">
        <x:v>12.5</x:v>
      </x:c>
      <x:c r="S1164" t="str">
        <x:v>8081.61</x:v>
      </x:c>
      <x:c r="T1164" t="str">
        <x:v>E-503 fic hunting, tube fouling</x:v>
      </x:c>
      <x:c r="U1164" t="str">
        <x:v>C shift called for E-503 feed bottoms exchanger, lvl swing seen during feed flow step. Foud tube fouling; duty low, delta t poor. opened strainer, cleaned black sludge. readng close to dcs after job. notif made by ops, maint attended same shift.</x:v>
      </x:c>
    </x:row>
    <x:row r="1165" ht="15" hidden="0" customHeight="1">
      <x:c r="A1165" t="str">
        <x:v>10451164</x:v>
      </x:c>
      <x:c r="B1165" t="str">
        <x:v>40871164</x:v>
      </x:c>
      <x:c r="C1165" t="str">
        <x:v>2026-01-28</x:v>
      </x:c>
      <x:c r="D1165" t="str">
        <x:v>2026-01-30</x:v>
      </x:c>
      <x:c r="E1165" t="str">
        <x:v>2026-01-31</x:v>
      </x:c>
      <x:c r="F1165" t="str">
        <x:v>U400-DEETHANIZER-500</x:v>
      </x:c>
      <x:c r="G1165" t="str">
        <x:v>FT-502</x:v>
      </x:c>
      <x:c r="H1165" t="str">
        <x:v>reflux flow transmitter</x:v>
      </x:c>
      <x:c r="I1165" t="str">
        <x:v>instrument</x:v>
      </x:c>
      <x:c r="J1165" t="str">
        <x:v>P3</x:v>
      </x:c>
      <x:c r="K1165" t="str">
        <x:v>CLSD</x:v>
      </x:c>
      <x:c r="L1165" t="str">
        <x:v>E&amp;I</x:v>
      </x:c>
      <x:c r="M1165" t="str">
        <x:v>reflux_pump_degradation</x:v>
      </x:c>
      <x:c r="N1165" t="str">
        <x:v>no signal</x:v>
      </x:c>
      <x:c r="O1165" t="str">
        <x:v>NO_SIGNAL</x:v>
      </x:c>
      <x:c r="P1165" t="str">
        <x:v>ELEC</x:v>
      </x:c>
      <x:c r="Q1165" t="str">
        <x:v>N</x:v>
      </x:c>
      <x:c r="R1165" t="str">
        <x:v>14.4</x:v>
      </x:c>
      <x:c r="S1165" t="str">
        <x:v>1129.99</x:v>
      </x:c>
      <x:c r="T1165" t="str">
        <x:v>FT-502 seal weep, no signal</x:v>
      </x:c>
      <x:c r="U1165" t="str">
        <x:v>B shift called for FT-502 reflux flow transmitter, disch press low seen during reflux pump degradation. Foud no signal; 24v or card issue. Line was hot so job done slow and with ops standing by. tightened fittings, leak test ok. temp repair only, plan shutdown job. notif made by ops, maint attended same shift.</x:v>
      </x:c>
    </x:row>
    <x:row r="1166" ht="15" hidden="0" customHeight="1">
      <x:c r="A1166" t="str">
        <x:v>10451165</x:v>
      </x:c>
      <x:c r="B1166" t="str">
        <x:v>40871165</x:v>
      </x:c>
      <x:c r="C1166" t="str">
        <x:v>2026-01-29</x:v>
      </x:c>
      <x:c r="D1166" t="str">
        <x:v>2026-01-29</x:v>
      </x:c>
      <x:c r="E1166" t="str">
        <x:v>2026-01-31</x:v>
      </x:c>
      <x:c r="F1166" t="str">
        <x:v>U400-DEETHANIZER-500</x:v>
      </x:c>
      <x:c r="G1166" t="str">
        <x:v>TT-503</x:v>
      </x:c>
      <x:c r="H1166" t="str">
        <x:v>reboiler outlet temperature tx</x:v>
      </x:c>
      <x:c r="I1166" t="str">
        <x:v>instrument</x:v>
      </x:c>
      <x:c r="J1166" t="str">
        <x:v>P2</x:v>
      </x:c>
      <x:c r="K1166" t="str">
        <x:v>COMP</x:v>
      </x:c>
      <x:c r="L1166" t="str">
        <x:v>E&amp;I</x:v>
      </x:c>
      <x:c r="M1166" t="str">
        <x:v>reboiler_duty_loss</x:v>
      </x:c>
      <x:c r="N1166" t="str">
        <x:v>loose wire</x:v>
      </x:c>
      <x:c r="O1166" t="str">
        <x:v>SIGNAL</x:v>
      </x:c>
      <x:c r="P1166" t="str">
        <x:v>ELEC</x:v>
      </x:c>
      <x:c r="Q1166" t="str">
        <x:v>N</x:v>
      </x:c>
      <x:c r="R1166" t="str">
        <x:v>14.1</x:v>
      </x:c>
      <x:c r="S1166" t="str">
        <x:v>2394.11</x:v>
      </x:c>
      <x:c r="T1166" t="str">
        <x:v>TT-503 not ok after reboiler duty loss</x:v>
      </x:c>
      <x:c r="U1166" t="str">
        <x:v>B shift called for TT-503 reboiler outlet temp tx, steam/hm valve no resp seen during reboiler duty loss. Foud loose wire; term loose. replaced positioner tubing and retuned small. readng close to dcs after job. notif made by ops, maint attended same shift.</x:v>
      </x:c>
    </x:row>
    <x:row r="1167" ht="15" hidden="0" customHeight="1">
      <x:c r="A1167" t="str">
        <x:v>10451166</x:v>
      </x:c>
      <x:c r="B1167" t="str">
        <x:v>40871166</x:v>
      </x:c>
      <x:c r="C1167" t="str">
        <x:v>2026-01-30</x:v>
      </x:c>
      <x:c r="D1167" t="str">
        <x:v>2026-01-30</x:v>
      </x:c>
      <x:c r="E1167" t="str">
        <x:v>2026-01-30</x:v>
      </x:c>
      <x:c r="F1167" t="str">
        <x:v>U400-DEETHANIZER-500</x:v>
      </x:c>
      <x:c r="G1167" t="str">
        <x:v>E-502</x:v>
      </x:c>
      <x:c r="H1167" t="str">
        <x:v>deethanizer overhead condenser</x:v>
      </x:c>
      <x:c r="I1167" t="str">
        <x:v>condenser</x:v>
      </x:c>
      <x:c r="J1167" t="str">
        <x:v>P3</x:v>
      </x:c>
      <x:c r="K1167" t="str">
        <x:v>TECO</x:v>
      </x:c>
      <x:c r="L1167" t="str">
        <x:v>ANLYZR</x:v>
      </x:c>
      <x:c r="M1167" t="str">
        <x:v>condenser_fouling</x:v>
      </x:c>
      <x:c r="N1167" t="str">
        <x:v>high press</x:v>
      </x:c>
      <x:c r="O1167" t="str">
        <x:v>PERF</x:v>
      </x:c>
      <x:c r="P1167" t="str">
        <x:v>FOUL</x:v>
      </x:c>
      <x:c r="Q1167" t="str">
        <x:v>N</x:v>
      </x:c>
      <x:c r="R1167" t="str">
        <x:v>7.2</x:v>
      </x:c>
      <x:c r="S1167" t="str">
        <x:v>7162.72</x:v>
      </x:c>
      <x:c r="T1167" t="str">
        <x:v>E-502 high press again, prod upset</x:v>
      </x:c>
      <x:c r="U1167" t="str">
        <x:v>night called for E-502 deethanizer overhead condenser, cw dt low seen during condenser fouling. Foud high press; condensing duty poor. No spare in store at first, used refurb one from shop. reset trip and monitored for 2 hrs. readng close to dcs after job. notif made by ops, maint attended same shift.</x:v>
      </x:c>
    </x:row>
    <x:row r="1168" ht="15" hidden="0" customHeight="1">
      <x:c r="A1168" t="str">
        <x:v>10451167</x:v>
      </x:c>
      <x:c r="B1168" t="str">
        <x:v>40871167</x:v>
      </x:c>
      <x:c r="C1168" t="str">
        <x:v>2026-01-30</x:v>
      </x:c>
      <x:c r="D1168" t="str">
        <x:v>2026-01-31</x:v>
      </x:c>
      <x:c r="E1168" t="str">
        <x:v>2026-02-01</x:v>
      </x:c>
      <x:c r="F1168" t="str">
        <x:v>U400-DEETHANIZER-500</x:v>
      </x:c>
      <x:c r="G1168" t="str">
        <x:v>FT-502</x:v>
      </x:c>
      <x:c r="H1168" t="str">
        <x:v>reflux flow transmitter</x:v>
      </x:c>
      <x:c r="I1168" t="str">
        <x:v>instrument</x:v>
      </x:c>
      <x:c r="J1168" t="str">
        <x:v>P3</x:v>
      </x:c>
      <x:c r="K1168" t="str">
        <x:v>TECO</x:v>
      </x:c>
      <x:c r="L1168" t="str">
        <x:v>ANLYZR</x:v>
      </x:c>
      <x:c r="M1168" t="str">
        <x:v>feed_flow_step</x:v>
      </x:c>
      <x:c r="N1168" t="str">
        <x:v>loose wire</x:v>
      </x:c>
      <x:c r="O1168" t="str">
        <x:v>SIGNAL</x:v>
      </x:c>
      <x:c r="P1168" t="str">
        <x:v>ELEC</x:v>
      </x:c>
      <x:c r="Q1168" t="str">
        <x:v>N</x:v>
      </x:c>
      <x:c r="R1168" t="str">
        <x:v>5.7</x:v>
      </x:c>
      <x:c r="S1168" t="str">
        <x:v>5028.68</x:v>
      </x:c>
      <x:c r="T1168" t="str">
        <x:v>FT-502 not ok after feed flow step</x:v>
      </x:c>
      <x:c r="U1168" t="str">
        <x:v>C shift called for FT-502 reflux flow transmitter, fic hunting seen during feed flow step. Foud loose wire; term loose. No spare in store at first, used refurb one from shop. reset trip and monitored for 2 hrs. no leak at handover. notif made by ops, maint attended same shift.</x:v>
      </x:c>
    </x:row>
    <x:row r="1169" ht="15" hidden="0" customHeight="1">
      <x:c r="A1169" t="str">
        <x:v>10451168</x:v>
      </x:c>
      <x:c r="B1169" t="str">
        <x:v>40871168</x:v>
      </x:c>
      <x:c r="C1169" t="str">
        <x:v>2026-02-03</x:v>
      </x:c>
      <x:c r="D1169" t="str">
        <x:v>2026-02-03</x:v>
      </x:c>
      <x:c r="E1169" t="str">
        <x:v>2026-02-04</x:v>
      </x:c>
      <x:c r="F1169" t="str">
        <x:v>U400-DEETHANIZER-500</x:v>
      </x:c>
      <x:c r="G1169" t="str">
        <x:v>LV-501</x:v>
      </x:c>
      <x:c r="H1169" t="str">
        <x:v>reflux drum level valve</x:v>
      </x:c>
      <x:c r="I1169" t="str">
        <x:v>control_valve</x:v>
      </x:c>
      <x:c r="J1169" t="str">
        <x:v>P1</x:v>
      </x:c>
      <x:c r="K1169" t="str">
        <x:v>CLSD</x:v>
      </x:c>
      <x:c r="L1169" t="str">
        <x:v>OPS+MECH</x:v>
      </x:c>
      <x:c r="M1169" t="str">
        <x:v>valve_stiction</x:v>
      </x:c>
      <x:c r="N1169" t="str">
        <x:v>hunting loop</x:v>
      </x:c>
      <x:c r="O1169" t="str">
        <x:v>CTRL_OSC</x:v>
      </x:c>
      <x:c r="P1169" t="str">
        <x:v>TUNE</x:v>
      </x:c>
      <x:c r="Q1169" t="str">
        <x:v>N</x:v>
      </x:c>
      <x:c r="R1169" t="str">
        <x:v>13.5</x:v>
      </x:c>
      <x:c r="S1169" t="str">
        <x:v>4915.38</x:v>
      </x:c>
      <x:c r="T1169" t="str">
        <x:v>LV-501 not ok after valve stiction</x:v>
      </x:c>
      <x:c r="U1169" t="str">
        <x:v>days called for LV-501 reflux drum level valve, loop cycling seen during valve stiction. Foud hunting loop; bad response after upset. replaced positioner tubing and retuned small. unit stable now. notif made by ops, maint attended same shift.</x:v>
      </x:c>
    </x:row>
    <x:row r="1170" ht="15" hidden="0" customHeight="1">
      <x:c r="A1170" t="str">
        <x:v>10451169</x:v>
      </x:c>
      <x:c r="B1170" t="str">
        <x:v>40871169</x:v>
      </x:c>
      <x:c r="C1170" t="str">
        <x:v>2026-01-31</x:v>
      </x:c>
      <x:c r="D1170" t="str">
        <x:v>2026-02-01</x:v>
      </x:c>
      <x:c r="E1170" t="str">
        <x:v>2026-02-06</x:v>
      </x:c>
      <x:c r="F1170" t="str">
        <x:v>U400-DEETHANIZER-500</x:v>
      </x:c>
      <x:c r="G1170" t="str">
        <x:v>FV-502</x:v>
      </x:c>
      <x:c r="H1170" t="str">
        <x:v>reflux flow control valve</x:v>
      </x:c>
      <x:c r="I1170" t="str">
        <x:v>control_valve</x:v>
      </x:c>
      <x:c r="J1170" t="str">
        <x:v>P2</x:v>
      </x:c>
      <x:c r="K1170" t="str">
        <x:v>TECO</x:v>
      </x:c>
      <x:c r="L1170" t="str">
        <x:v>E&amp;I</x:v>
      </x:c>
      <x:c r="M1170" t="str">
        <x:v>valve_stiction</x:v>
      </x:c>
      <x:c r="N1170" t="str">
        <x:v>not stroking</x:v>
      </x:c>
      <x:c r="O1170" t="str">
        <x:v>NO_TRAVEL</x:v>
      </x:c>
      <x:c r="P1170" t="str">
        <x:v>ACT</x:v>
      </x:c>
      <x:c r="Q1170" t="str">
        <x:v>N</x:v>
      </x:c>
      <x:c r="R1170" t="str">
        <x:v>16.8</x:v>
      </x:c>
      <x:c r="S1170" t="str">
        <x:v>6616.12</x:v>
      </x:c>
      <x:c r="T1170" t="str">
        <x:v>FV-502 valve sticking, not stroking</x:v>
      </x:c>
      <x:c r="U1170" t="str">
        <x:v>C shift called for FV-502 rflx flow ctrl valve, air leak seen during valve stiction. Foud not stroking; actuator weak. opened strainer, cleaned black sludge. unit stable now. notif made by ops, maint attended same shift.</x:v>
      </x:c>
    </x:row>
    <x:row r="1171" ht="15" hidden="0" customHeight="1">
      <x:c r="A1171" t="str">
        <x:v>10451170</x:v>
      </x:c>
      <x:c r="B1171" t="str">
        <x:v>40871170</x:v>
      </x:c>
      <x:c r="C1171" t="str">
        <x:v>2026-02-03</x:v>
      </x:c>
      <x:c r="D1171" t="str">
        <x:v>2026-02-05</x:v>
      </x:c>
      <x:c r="E1171" t="str">
        <x:v>2026-02-06</x:v>
      </x:c>
      <x:c r="F1171" t="str">
        <x:v>U400-DEETHANIZER-500</x:v>
      </x:c>
      <x:c r="G1171" t="str">
        <x:v>V-501</x:v>
      </x:c>
      <x:c r="H1171" t="str">
        <x:v>deethanizer reflux drum</x:v>
      </x:c>
      <x:c r="I1171" t="str">
        <x:v>vessel</x:v>
      </x:c>
      <x:c r="J1171" t="str">
        <x:v>P2</x:v>
      </x:c>
      <x:c r="K1171" t="str">
        <x:v>CLSD</x:v>
      </x:c>
      <x:c r="L1171" t="str">
        <x:v>MECH</x:v>
      </x:c>
      <x:c r="M1171" t="str">
        <x:v>reflux_pump_degradation</x:v>
      </x:c>
      <x:c r="N1171" t="str">
        <x:v>pressure erratic</x:v>
      </x:c>
      <x:c r="O1171" t="str">
        <x:v>PRESS_SWING</x:v>
      </x:c>
      <x:c r="P1171" t="str">
        <x:v>CTRL</x:v>
      </x:c>
      <x:c r="Q1171" t="str">
        <x:v>Y</x:v>
      </x:c>
      <x:c r="R1171" t="str">
        <x:v>9.1</x:v>
      </x:c>
      <x:c r="S1171" t="str">
        <x:v>975.32</x:v>
      </x:c>
      <x:c r="T1171" t="str">
        <x:v>V-501 pressure erratic again, prod upset</x:v>
      </x:c>
      <x:c r="U1171" t="str">
        <x:v>B shift called for V-501 deethanizer reflux drum, disch press low seen during reflux pump degradation. Foud pressure erratic; pv/pic issue. replaced positioner tubing and retuned small. no leak at handover. notif made by ops, maint attended same shift.</x:v>
      </x:c>
    </x:row>
    <x:row r="1172" ht="15" hidden="0" customHeight="1">
      <x:c r="A1172" t="str">
        <x:v>10451171</x:v>
      </x:c>
      <x:c r="B1172" t="str">
        <x:v>40871171</x:v>
      </x:c>
      <x:c r="C1172" t="str">
        <x:v>2026-02-03</x:v>
      </x:c>
      <x:c r="D1172" t="str">
        <x:v>2026-02-04</x:v>
      </x:c>
      <x:c r="E1172" t="str">
        <x:v>2026-02-05</x:v>
      </x:c>
      <x:c r="F1172" t="str">
        <x:v>U400-DEETHANIZER-500</x:v>
      </x:c>
      <x:c r="G1172" t="str">
        <x:v>E-503</x:v>
      </x:c>
      <x:c r="H1172" t="str">
        <x:v>feed bottoms exchanger</x:v>
      </x:c>
      <x:c r="I1172" t="str">
        <x:v>exchanger</x:v>
      </x:c>
      <x:c r="J1172" t="str">
        <x:v>P2</x:v>
      </x:c>
      <x:c r="K1172" t="str">
        <x:v>COMP</x:v>
      </x:c>
      <x:c r="L1172" t="str">
        <x:v>ANLYZR</x:v>
      </x:c>
      <x:c r="M1172" t="str">
        <x:v>feed_composition_shift</x:v>
      </x:c>
      <x:c r="N1172" t="str">
        <x:v>gasket weep</x:v>
      </x:c>
      <x:c r="O1172" t="str">
        <x:v>LEAK</x:v>
      </x:c>
      <x:c r="P1172" t="str">
        <x:v>GASKET</x:v>
      </x:c>
      <x:c r="Q1172" t="str">
        <x:v>N</x:v>
      </x:c>
      <x:c r="R1172" t="str">
        <x:v>9.5</x:v>
      </x:c>
      <x:c r="S1172" t="str">
        <x:v>1029.99</x:v>
      </x:c>
      <x:c r="T1172" t="str">
        <x:v>chk E-503 - gasket weep frm ops</x:v>
      </x:c>
      <x:c r="U1172" t="str">
        <x:v>days called for E-503 feed bottoms exchanger, c3 in feed hi seen during feed composition shift. Foud gasket weep; flange sweating. changed gasket and boxed up. ops says ok for now. notif made by ops, maint attended same shift.</x:v>
      </x:c>
    </x:row>
    <x:row r="1173" ht="15" hidden="0" customHeight="1">
      <x:c r="A1173" t="str">
        <x:v>10451172</x:v>
      </x:c>
      <x:c r="B1173" t="str">
        <x:v>40871172</x:v>
      </x:c>
      <x:c r="C1173" t="str">
        <x:v>2026-02-04</x:v>
      </x:c>
      <x:c r="D1173" t="str">
        <x:v>2026-02-05</x:v>
      </x:c>
      <x:c r="E1173" t="str">
        <x:v>2026-02-05</x:v>
      </x:c>
      <x:c r="F1173" t="str">
        <x:v>U400-DEETHANIZER-500</x:v>
      </x:c>
      <x:c r="G1173" t="str">
        <x:v>FT-502</x:v>
      </x:c>
      <x:c r="H1173" t="str">
        <x:v>reflux flow transmitter</x:v>
      </x:c>
      <x:c r="I1173" t="str">
        <x:v>instrument</x:v>
      </x:c>
      <x:c r="J1173" t="str">
        <x:v>P3</x:v>
      </x:c>
      <x:c r="K1173" t="str">
        <x:v>CLSD</x:v>
      </x:c>
      <x:c r="L1173" t="str">
        <x:v>INST</x:v>
      </x:c>
      <x:c r="M1173" t="str">
        <x:v>reflux_pump_degradation</x:v>
      </x:c>
      <x:c r="N1173" t="str">
        <x:v>no signal</x:v>
      </x:c>
      <x:c r="O1173" t="str">
        <x:v>NO_SIGNAL</x:v>
      </x:c>
      <x:c r="P1173" t="str">
        <x:v>ELEC</x:v>
      </x:c>
      <x:c r="Q1173" t="str">
        <x:v>N</x:v>
      </x:c>
      <x:c r="R1173" t="str">
        <x:v>3.0</x:v>
      </x:c>
      <x:c r="S1173" t="str">
        <x:v>2530.61</x:v>
      </x:c>
      <x:c r="T1173" t="str">
        <x:v>FT-502 low rflx, no signal</x:v>
      </x:c>
      <x:c r="U1173" t="str">
        <x:v>B shift called for FT-502 reflux flow tx, low reflux seen during reflux pump degradation. Foud no signal; 24v or card issue. opened strainer, cleaned black sludge. no leak at handover. notif made by ops, maint attended same shift.</x:v>
      </x:c>
    </x:row>
    <x:row r="1174" ht="15" hidden="0" customHeight="1">
      <x:c r="A1174" t="str">
        <x:v>10451173</x:v>
      </x:c>
      <x:c r="B1174" t="str">
        <x:v>40871173</x:v>
      </x:c>
      <x:c r="C1174" t="str">
        <x:v>2026-02-06</x:v>
      </x:c>
      <x:c r="D1174" t="str">
        <x:v>2026-02-06</x:v>
      </x:c>
      <x:c r="E1174" t="str">
        <x:v>2026-02-08</x:v>
      </x:c>
      <x:c r="F1174" t="str">
        <x:v>U400-DEETHANIZER-500</x:v>
      </x:c>
      <x:c r="G1174" t="str">
        <x:v>P-501A</x:v>
      </x:c>
      <x:c r="H1174" t="str">
        <x:v>reflux pump A</x:v>
      </x:c>
      <x:c r="I1174" t="str">
        <x:v>pump</x:v>
      </x:c>
      <x:c r="J1174" t="str">
        <x:v>P2</x:v>
      </x:c>
      <x:c r="K1174" t="str">
        <x:v>COMP</x:v>
      </x:c>
      <x:c r="L1174" t="str">
        <x:v>OPS+MECH</x:v>
      </x:c>
      <x:c r="M1174" t="str">
        <x:v>reflux_pump_degradation</x:v>
      </x:c>
      <x:c r="N1174" t="str">
        <x:v>vib high</x:v>
      </x:c>
      <x:c r="O1174" t="str">
        <x:v>VIB</x:v>
      </x:c>
      <x:c r="P1174" t="str">
        <x:v>ALIGN</x:v>
      </x:c>
      <x:c r="Q1174" t="str">
        <x:v>N</x:v>
      </x:c>
      <x:c r="R1174" t="str">
        <x:v>10.0</x:v>
      </x:c>
      <x:c r="S1174" t="str">
        <x:v>3908.38</x:v>
      </x:c>
      <x:c r="T1174" t="str">
        <x:v>chk P-501A - vib high frm ops</x:v>
      </x:c>
      <x:c r="U1174" t="str">
        <x:v>days called for P-501A rflx pump A, min flow hot seen during rflx pump degradation. Foud vib high; coupling align or cavitation. reset trip and monitored for 2 hrs. still little hunting but acceptable. notif made by ops, maint attended same shift.</x:v>
      </x:c>
    </x:row>
    <x:row r="1175" ht="15" hidden="0" customHeight="1">
      <x:c r="A1175" t="str">
        <x:v>10451174</x:v>
      </x:c>
      <x:c r="B1175" t="str">
        <x:v>40871174</x:v>
      </x:c>
      <x:c r="C1175" t="str">
        <x:v>2026-02-08</x:v>
      </x:c>
      <x:c r="D1175" t="str">
        <x:v>2026-02-10</x:v>
      </x:c>
      <x:c r="E1175" t="str">
        <x:v>2026-02-11</x:v>
      </x:c>
      <x:c r="F1175" t="str">
        <x:v>U400-DEETHANIZER-500</x:v>
      </x:c>
      <x:c r="G1175" t="str">
        <x:v>LT-502</x:v>
      </x:c>
      <x:c r="H1175" t="str">
        <x:v>column bottom level tx</x:v>
      </x:c>
      <x:c r="I1175" t="str">
        <x:v>instrument</x:v>
      </x:c>
      <x:c r="J1175" t="str">
        <x:v>P3</x:v>
      </x:c>
      <x:c r="K1175" t="str">
        <x:v>CLSD</x:v>
      </x:c>
      <x:c r="L1175" t="str">
        <x:v>ANLYZR</x:v>
      </x:c>
      <x:c r="M1175" t="str">
        <x:v>normal_wear</x:v>
      </x:c>
      <x:c r="N1175" t="str">
        <x:v>loose wire</x:v>
      </x:c>
      <x:c r="O1175" t="str">
        <x:v>SIGNAL</x:v>
      </x:c>
      <x:c r="P1175" t="str">
        <x:v>ELEC</x:v>
      </x:c>
      <x:c r="Q1175" t="str">
        <x:v>N</x:v>
      </x:c>
      <x:c r="R1175" t="str">
        <x:v>12.2</x:v>
      </x:c>
      <x:c r="S1175" t="str">
        <x:v>3556.61</x:v>
      </x:c>
      <x:c r="T1175" t="str">
        <x:v>LT-502 loose wire pls chk</x:v>
      </x:c>
      <x:c r="U1175" t="str">
        <x:v>A shift called for LT-502 column bottom level tx, loose term seen during normal wear. Foud loose wire; term loose. Line was hot so job done slow and with ops standing by. reset trip and monitored for 2 hrs. need watch next feed swing. notif made by ops, maint attended same shift.</x:v>
      </x:c>
    </x:row>
    <x:row r="1176" ht="15" hidden="0" customHeight="1">
      <x:c r="A1176" t="str">
        <x:v>10451175</x:v>
      </x:c>
      <x:c r="B1176" t="str">
        <x:v>40871175</x:v>
      </x:c>
      <x:c r="C1176" t="str">
        <x:v>2026-02-13</x:v>
      </x:c>
      <x:c r="D1176" t="str">
        <x:v>2026-02-14</x:v>
      </x:c>
      <x:c r="E1176" t="str">
        <x:v>2026-02-14</x:v>
      </x:c>
      <x:c r="F1176" t="str">
        <x:v>U400-DEETHANIZER-500</x:v>
      </x:c>
      <x:c r="G1176" t="str">
        <x:v>P-502A</x:v>
      </x:c>
      <x:c r="H1176" t="str">
        <x:v>bottoms pump A</x:v>
      </x:c>
      <x:c r="I1176" t="str">
        <x:v>pump</x:v>
      </x:c>
      <x:c r="J1176" t="str">
        <x:v>P1</x:v>
      </x:c>
      <x:c r="K1176" t="str">
        <x:v>COMP</x:v>
      </x:c>
      <x:c r="L1176" t="str">
        <x:v>E&amp;I</x:v>
      </x:c>
      <x:c r="M1176" t="str">
        <x:v>condenser_fouling</x:v>
      </x:c>
      <x:c r="N1176" t="str">
        <x:v>bearing hot</x:v>
      </x:c>
      <x:c r="O1176" t="str">
        <x:v>BRG</x:v>
      </x:c>
      <x:c r="P1176" t="str">
        <x:v>WEAR</x:v>
      </x:c>
      <x:c r="Q1176" t="str">
        <x:v>N</x:v>
      </x:c>
      <x:c r="R1176" t="str">
        <x:v>2.3</x:v>
      </x:c>
      <x:c r="S1176" t="str">
        <x:v>7276.46</x:v>
      </x:c>
      <x:c r="T1176" t="str">
        <x:v>P-502A bearing hot bad</x:v>
      </x:c>
      <x:c r="U1176" t="str">
        <x:v>A shift called for P-502A bottoms pump A, cw dt low seen during condenser fouling. Foud bearing hot; brg rough, lube dark. flushed impulse/sample line. temp repair only, plan shutdown job. notif made by ops, maint attended same shift.</x:v>
      </x:c>
    </x:row>
    <x:row r="1177" ht="15" hidden="0" customHeight="1">
      <x:c r="A1177" t="str">
        <x:v>10451176</x:v>
      </x:c>
      <x:c r="B1177" t="str">
        <x:v>40871176</x:v>
      </x:c>
      <x:c r="C1177" t="str">
        <x:v>2026-02-12</x:v>
      </x:c>
      <x:c r="D1177" t="str">
        <x:v>2026-02-12</x:v>
      </x:c>
      <x:c r="E1177" t="str">
        <x:v>2026-02-15</x:v>
      </x:c>
      <x:c r="F1177" t="str">
        <x:v>U400-DEETHANIZER-500</x:v>
      </x:c>
      <x:c r="G1177" t="str">
        <x:v>E-503</x:v>
      </x:c>
      <x:c r="H1177" t="str">
        <x:v>feed bottoms exchanger</x:v>
      </x:c>
      <x:c r="I1177" t="str">
        <x:v>exchanger</x:v>
      </x:c>
      <x:c r="J1177" t="str">
        <x:v>P3</x:v>
      </x:c>
      <x:c r="K1177" t="str">
        <x:v>CLSD</x:v>
      </x:c>
      <x:c r="L1177" t="str">
        <x:v>E&amp;I</x:v>
      </x:c>
      <x:c r="M1177" t="str">
        <x:v>feed_temperature_ramp</x:v>
      </x:c>
      <x:c r="N1177" t="str">
        <x:v>tube fouling</x:v>
      </x:c>
      <x:c r="O1177" t="str">
        <x:v>FOULING</x:v>
      </x:c>
      <x:c r="P1177" t="str">
        <x:v>PROCESS</x:v>
      </x:c>
      <x:c r="Q1177" t="str">
        <x:v>N</x:v>
      </x:c>
      <x:c r="R1177" t="str">
        <x:v>17.0</x:v>
      </x:c>
      <x:c r="S1177" t="str">
        <x:v>12992.34</x:v>
      </x:c>
      <x:c r="T1177" t="str">
        <x:v>E-503 not ok after feed temperature ramp</x:v>
      </x:c>
      <x:c r="U1177" t="str">
        <x:v>days called for E-503 feed bottoms exchanger, feed temp high seen during feed temp ramp. Foud tube fouling; duty low, delta t poor. replaced positioner tubing and retuned small. unit stable now. notif made by ops, maint attended same shift.</x:v>
      </x:c>
    </x:row>
    <x:row r="1178" ht="15" hidden="0" customHeight="1">
      <x:c r="A1178" t="str">
        <x:v>10451177</x:v>
      </x:c>
      <x:c r="B1178" t="str">
        <x:v>40871177</x:v>
      </x:c>
      <x:c r="C1178" t="str">
        <x:v>2026-02-13</x:v>
      </x:c>
      <x:c r="D1178" t="str">
        <x:v>2026-02-15</x:v>
      </x:c>
      <x:c r="E1178" t="str">
        <x:v>2026-02-18</x:v>
      </x:c>
      <x:c r="F1178" t="str">
        <x:v>U400-DEETHANIZER-500</x:v>
      </x:c>
      <x:c r="G1178" t="str">
        <x:v>FT-501</x:v>
      </x:c>
      <x:c r="H1178" t="str">
        <x:v>feed flow transmitter</x:v>
      </x:c>
      <x:c r="I1178" t="str">
        <x:v>instrument</x:v>
      </x:c>
      <x:c r="J1178" t="str">
        <x:v>P2</x:v>
      </x:c>
      <x:c r="K1178" t="str">
        <x:v>CLSD</x:v>
      </x:c>
      <x:c r="L1178" t="str">
        <x:v>E&amp;I</x:v>
      </x:c>
      <x:c r="M1178" t="str">
        <x:v>feed_flow_step</x:v>
      </x:c>
      <x:c r="N1178" t="str">
        <x:v>impulse plugged</x:v>
      </x:c>
      <x:c r="O1178" t="str">
        <x:v>PLUG</x:v>
      </x:c>
      <x:c r="P1178" t="str">
        <x:v>PROCESS</x:v>
      </x:c>
      <x:c r="Q1178" t="str">
        <x:v>N</x:v>
      </x:c>
      <x:c r="R1178" t="str">
        <x:v>9.8</x:v>
      </x:c>
      <x:c r="S1178" t="str">
        <x:v>5196.26</x:v>
      </x:c>
      <x:c r="T1178" t="str">
        <x:v>chk FT-501 - impulse plugged frm ops</x:v>
      </x:c>
      <x:c r="U1178" t="str">
        <x:v>A shift called for FT-501 feed flow tx, column dp high seen during feed flow step. Foud impulse plugged; tap/line dirty. cleaned and put back online. temp repair only, plan shutdown job. notif made by ops, maint attended same shift.</x:v>
      </x:c>
    </x:row>
    <x:row r="1179" ht="15" hidden="0" customHeight="1">
      <x:c r="A1179" t="str">
        <x:v>10451178</x:v>
      </x:c>
      <x:c r="B1179" t="str">
        <x:v>40871178</x:v>
      </x:c>
      <x:c r="C1179" t="str">
        <x:v>2026-02-14</x:v>
      </x:c>
      <x:c r="D1179" t="str">
        <x:v>2026-02-15</x:v>
      </x:c>
      <x:c r="E1179" t="str">
        <x:v>2026-02-17</x:v>
      </x:c>
      <x:c r="F1179" t="str">
        <x:v>U400-DEETHANIZER-500</x:v>
      </x:c>
      <x:c r="G1179" t="str">
        <x:v>E-501</x:v>
      </x:c>
      <x:c r="H1179" t="str">
        <x:v>deethanizer reboiler</x:v>
      </x:c>
      <x:c r="I1179" t="str">
        <x:v>reboiler</x:v>
      </x:c>
      <x:c r="J1179" t="str">
        <x:v>P2</x:v>
      </x:c>
      <x:c r="K1179" t="str">
        <x:v>CLSD</x:v>
      </x:c>
      <x:c r="L1179" t="str">
        <x:v>ROT</x:v>
      </x:c>
      <x:c r="M1179" t="str">
        <x:v>feed_flow_step</x:v>
      </x:c>
      <x:c r="N1179" t="str">
        <x:v>rb leak</x:v>
      </x:c>
      <x:c r="O1179" t="str">
        <x:v>LEAK</x:v>
      </x:c>
      <x:c r="P1179" t="str">
        <x:v>GASKET</x:v>
      </x:c>
      <x:c r="Q1179" t="str">
        <x:v>N</x:v>
      </x:c>
      <x:c r="R1179" t="str">
        <x:v>14.0</x:v>
      </x:c>
      <x:c r="S1179" t="str">
        <x:v>11623.98</x:v>
      </x:c>
      <x:c r="T1179" t="str">
        <x:v>chk E-501 - rb leak frm ops</x:v>
      </x:c>
      <x:c r="U1179" t="str">
        <x:v>days called for E-501 deethanizer reboiler, c2 recov down seen during feed flow step. Foud rb leak; channel flange weep. Line was hot so job done slow and with ops standing by. swapped to standby and repaired. need watch next feed swing. notif made by ops, maint attended same shift.</x:v>
      </x:c>
    </x:row>
    <x:row r="1180" ht="15" hidden="0" customHeight="1">
      <x:c r="A1180" t="str">
        <x:v>10451179</x:v>
      </x:c>
      <x:c r="B1180" t="str">
        <x:v>40871179</x:v>
      </x:c>
      <x:c r="C1180" t="str">
        <x:v>2026-02-18</x:v>
      </x:c>
      <x:c r="D1180" t="str">
        <x:v>2026-02-20</x:v>
      </x:c>
      <x:c r="E1180" t="str">
        <x:v>2026-02-21</x:v>
      </x:c>
      <x:c r="F1180" t="str">
        <x:v>U400-DEETHANIZER-500</x:v>
      </x:c>
      <x:c r="G1180" t="str">
        <x:v>P-501B</x:v>
      </x:c>
      <x:c r="H1180" t="str">
        <x:v>reflux pump B</x:v>
      </x:c>
      <x:c r="I1180" t="str">
        <x:v>pump</x:v>
      </x:c>
      <x:c r="J1180" t="str">
        <x:v>P2</x:v>
      </x:c>
      <x:c r="K1180" t="str">
        <x:v>TECO</x:v>
      </x:c>
      <x:c r="L1180" t="str">
        <x:v>E&amp;I</x:v>
      </x:c>
      <x:c r="M1180" t="str">
        <x:v>reboiler_duty_loss</x:v>
      </x:c>
      <x:c r="N1180" t="str">
        <x:v>vib high</x:v>
      </x:c>
      <x:c r="O1180" t="str">
        <x:v>VIB</x:v>
      </x:c>
      <x:c r="P1180" t="str">
        <x:v>ALIGN</x:v>
      </x:c>
      <x:c r="Q1180" t="str">
        <x:v>N</x:v>
      </x:c>
      <x:c r="R1180" t="str">
        <x:v>12.9</x:v>
      </x:c>
      <x:c r="S1180" t="str">
        <x:v>2380.51</x:v>
      </x:c>
      <x:c r="T1180" t="str">
        <x:v>P-501B steam/hm valve no resp, vib high</x:v>
      </x:c>
      <x:c r="U1180" t="str">
        <x:v>A shift called for P-501B reflux pump B, c2 in btm seen during rebiler duty loss. Foud vib high; coupling align or cavitation. cleaned and put back online. no leak at handover. notif made by ops, maint attended same shift.</x:v>
      </x:c>
    </x:row>
    <x:row r="1181" ht="15" hidden="0" customHeight="1">
      <x:c r="A1181" t="str">
        <x:v>10451180</x:v>
      </x:c>
      <x:c r="B1181" t="str">
        <x:v>40871180</x:v>
      </x:c>
      <x:c r="C1181" t="str">
        <x:v>2026-02-17</x:v>
      </x:c>
      <x:c r="D1181" t="str">
        <x:v>2026-02-19</x:v>
      </x:c>
      <x:c r="E1181" t="str">
        <x:v>2026-02-20</x:v>
      </x:c>
      <x:c r="F1181" t="str">
        <x:v>U400-DEETHANIZER-500</x:v>
      </x:c>
      <x:c r="G1181" t="str">
        <x:v>TT-501B</x:v>
      </x:c>
      <x:c r="H1181" t="str">
        <x:v>sensitive tray temperature tx</x:v>
      </x:c>
      <x:c r="I1181" t="str">
        <x:v>instrument</x:v>
      </x:c>
      <x:c r="J1181" t="str">
        <x:v>P2</x:v>
      </x:c>
      <x:c r="K1181" t="str">
        <x:v>TECO</x:v>
      </x:c>
      <x:c r="L1181" t="str">
        <x:v>ANLYZR</x:v>
      </x:c>
      <x:c r="M1181" t="str">
        <x:v>feed_temperature_ramp</x:v>
      </x:c>
      <x:c r="N1181" t="str">
        <x:v>bad reading</x:v>
      </x:c>
      <x:c r="O1181" t="str">
        <x:v>DRIFT</x:v>
      </x:c>
      <x:c r="P1181" t="str">
        <x:v>CAL</x:v>
      </x:c>
      <x:c r="Q1181" t="str">
        <x:v>N</x:v>
      </x:c>
      <x:c r="R1181" t="str">
        <x:v>9.6</x:v>
      </x:c>
      <x:c r="S1181" t="str">
        <x:v>327.27</x:v>
      </x:c>
      <x:c r="T1181" t="str">
        <x:v>TT-501B not ok after feed temp ramp</x:v>
      </x:c>
      <x:c r="U1181" t="str">
        <x:v>A shift called for TT-501B sensitive tray temperature tx, tray temp drift seen during feed temperature ramp. Foud bad reading; needs calib. changed gasket and boxed up. ops says ok for now. notif made by ops, maint attended same shift.</x:v>
      </x:c>
    </x:row>
    <x:row r="1182" ht="15" hidden="0" customHeight="1">
      <x:c r="A1182" t="str">
        <x:v>10451181</x:v>
      </x:c>
      <x:c r="B1182" t="str">
        <x:v>40871181</x:v>
      </x:c>
      <x:c r="C1182" t="str">
        <x:v>2026-02-20</x:v>
      </x:c>
      <x:c r="D1182" t="str">
        <x:v>2026-02-20</x:v>
      </x:c>
      <x:c r="E1182" t="str">
        <x:v>2026-02-20</x:v>
      </x:c>
      <x:c r="F1182" t="str">
        <x:v>U400-DEETHANIZER-500</x:v>
      </x:c>
      <x:c r="G1182" t="str">
        <x:v>LT-501</x:v>
      </x:c>
      <x:c r="H1182" t="str">
        <x:v>reflux drum level tx</x:v>
      </x:c>
      <x:c r="I1182" t="str">
        <x:v>instrument</x:v>
      </x:c>
      <x:c r="J1182" t="str">
        <x:v>P3</x:v>
      </x:c>
      <x:c r="K1182" t="str">
        <x:v>TECO</x:v>
      </x:c>
      <x:c r="L1182" t="str">
        <x:v>ANLYZR</x:v>
      </x:c>
      <x:c r="M1182" t="str">
        <x:v>reflux_pump_degradation</x:v>
      </x:c>
      <x:c r="N1182" t="str">
        <x:v>no signal</x:v>
      </x:c>
      <x:c r="O1182" t="str">
        <x:v>NO_SIGNAL</x:v>
      </x:c>
      <x:c r="P1182" t="str">
        <x:v>ELEC</x:v>
      </x:c>
      <x:c r="Q1182" t="str">
        <x:v>N</x:v>
      </x:c>
      <x:c r="R1182" t="str">
        <x:v>3.3</x:v>
      </x:c>
      <x:c r="S1182" t="str">
        <x:v>3802.32</x:v>
      </x:c>
      <x:c r="T1182" t="str">
        <x:v>LT-501 not ok after reflux pump degradation</x:v>
      </x:c>
      <x:c r="U1182" t="str">
        <x:v>A shift called for LT-501 reflux drum level tx, pump vib seen during reflux pump degradation. Foud no signal; 24v or card issue. flushed impulse/sample line. no leak at handover. notif made by ops, maint attended same shift.</x:v>
      </x:c>
    </x:row>
    <x:row r="1183" ht="15" hidden="0" customHeight="1">
      <x:c r="A1183" t="str">
        <x:v>10451182</x:v>
      </x:c>
      <x:c r="B1183" t="str">
        <x:v>40871182</x:v>
      </x:c>
      <x:c r="C1183" t="str">
        <x:v>2026-02-22</x:v>
      </x:c>
      <x:c r="D1183" t="str">
        <x:v>2026-02-23</x:v>
      </x:c>
      <x:c r="E1183" t="str">
        <x:v>2026-02-24</x:v>
      </x:c>
      <x:c r="F1183" t="str">
        <x:v>U400-DEETHANIZER-500</x:v>
      </x:c>
      <x:c r="G1183" t="str">
        <x:v>AIT-501</x:v>
      </x:c>
      <x:c r="H1183" t="str">
        <x:v>overhead C2 analyzer</x:v>
      </x:c>
      <x:c r="I1183" t="str">
        <x:v>analyzer</x:v>
      </x:c>
      <x:c r="J1183" t="str">
        <x:v>P2</x:v>
      </x:c>
      <x:c r="K1183" t="str">
        <x:v>CLSD</x:v>
      </x:c>
      <x:c r="L1183" t="str">
        <x:v>OPS+INST</x:v>
      </x:c>
      <x:c r="M1183" t="str">
        <x:v>feed_composition_shift</x:v>
      </x:c>
      <x:c r="N1183" t="str">
        <x:v>condensate in sample</x:v>
      </x:c>
      <x:c r="O1183" t="str">
        <x:v>LIQ_CARRY</x:v>
      </x:c>
      <x:c r="P1183" t="str">
        <x:v>SAMPLE</x:v>
      </x:c>
      <x:c r="Q1183" t="str">
        <x:v>N</x:v>
      </x:c>
      <x:c r="R1183" t="str">
        <x:v>6.8</x:v>
      </x:c>
      <x:c r="S1183" t="str">
        <x:v>3087.12</x:v>
      </x:c>
      <x:c r="T1183" t="str">
        <x:v>AIT-501 c3 in feed hi, condensate in sample</x:v>
      </x:c>
      <x:c r="U1183" t="str">
        <x:v>days called for AIT-501 overhead C2 analyzer, btm heavy seen during feed composition shift. Foud condensate in sample; knockout pot full. opened strainer, cleaned black sludge. need watch next feed swing. notif made by ops, maint attended same shift.</x:v>
      </x:c>
    </x:row>
    <x:row r="1184" ht="15" hidden="0" customHeight="1">
      <x:c r="A1184" t="str">
        <x:v>10451183</x:v>
      </x:c>
      <x:c r="B1184" t="str">
        <x:v>40871183</x:v>
      </x:c>
      <x:c r="C1184" t="str">
        <x:v>2026-02-24</x:v>
      </x:c>
      <x:c r="D1184" t="str">
        <x:v>2026-02-24</x:v>
      </x:c>
      <x:c r="E1184" t="str">
        <x:v>2026-02-25</x:v>
      </x:c>
      <x:c r="F1184" t="str">
        <x:v>U400-DEETHANIZER-500</x:v>
      </x:c>
      <x:c r="G1184" t="str">
        <x:v>TV-501</x:v>
      </x:c>
      <x:c r="H1184" t="str">
        <x:v>reboiler hot medium valve</x:v>
      </x:c>
      <x:c r="I1184" t="str">
        <x:v>control_valve</x:v>
      </x:c>
      <x:c r="J1184" t="str">
        <x:v>P2</x:v>
      </x:c>
      <x:c r="K1184" t="str">
        <x:v>COMP</x:v>
      </x:c>
      <x:c r="L1184" t="str">
        <x:v>ANLYZR</x:v>
      </x:c>
      <x:c r="M1184" t="str">
        <x:v>reboiler_duty_loss</x:v>
      </x:c>
      <x:c r="N1184" t="str">
        <x:v>passing</x:v>
      </x:c>
      <x:c r="O1184" t="str">
        <x:v>LEAK_BY</x:v>
      </x:c>
      <x:c r="P1184" t="str">
        <x:v>SEAT</x:v>
      </x:c>
      <x:c r="Q1184" t="str">
        <x:v>N</x:v>
      </x:c>
      <x:c r="R1184" t="str">
        <x:v>13.5</x:v>
      </x:c>
      <x:c r="S1184" t="str">
        <x:v>1952.28</x:v>
      </x:c>
      <x:c r="T1184" t="str">
        <x:v>chk TV-501 - passing frm ops</x:v>
      </x:c>
      <x:c r="U1184" t="str">
        <x:v>B shift called for TV-501 reboiler hot medium valve, tray temp low seen during reboiler duty loss. Foud passing; seat leak by. Tag plate dirty, confirmd by line up with panel. changed gasket and boxed up. ops says ok for now. notif made by ops, maint attended same shift.</x:v>
      </x:c>
    </x:row>
    <x:row r="1185" ht="15" hidden="0" customHeight="1">
      <x:c r="A1185" t="str">
        <x:v>10451184</x:v>
      </x:c>
      <x:c r="B1185" t="str">
        <x:v>40871184</x:v>
      </x:c>
      <x:c r="C1185" t="str">
        <x:v>2026-02-26</x:v>
      </x:c>
      <x:c r="D1185" t="str">
        <x:v>2026-02-26</x:v>
      </x:c>
      <x:c r="E1185" t="str">
        <x:v>2026-02-28</x:v>
      </x:c>
      <x:c r="F1185" t="str">
        <x:v>U400-DEETHANIZER-500</x:v>
      </x:c>
      <x:c r="G1185" t="str">
        <x:v>T-501</x:v>
      </x:c>
      <x:c r="H1185" t="str">
        <x:v>deethanizer column</x:v>
      </x:c>
      <x:c r="I1185" t="str">
        <x:v>column</x:v>
      </x:c>
      <x:c r="J1185" t="str">
        <x:v>P3</x:v>
      </x:c>
      <x:c r="K1185" t="str">
        <x:v>CLSD</x:v>
      </x:c>
      <x:c r="L1185" t="str">
        <x:v>VALVE</x:v>
      </x:c>
      <x:c r="M1185" t="str">
        <x:v>feed_flow_step</x:v>
      </x:c>
      <x:c r="N1185" t="str">
        <x:v>dp high</x:v>
      </x:c>
      <x:c r="O1185" t="str">
        <x:v>DP_HIGH</x:v>
      </x:c>
      <x:c r="P1185" t="str">
        <x:v>FOAM</x:v>
      </x:c>
      <x:c r="Q1185" t="str">
        <x:v>N</x:v>
      </x:c>
      <x:c r="R1185" t="str">
        <x:v>11.8</x:v>
      </x:c>
      <x:c r="S1185" t="str">
        <x:v>2546.7</x:v>
      </x:c>
      <x:c r="T1185" t="str">
        <x:v>T-501 dp high again</x:v>
      </x:c>
      <x:c r="U1185" t="str">
        <x:v>A shift called for T-501 deethanizer column, c2 recov down seen during feed flow step. Foud dp high; trays loading or foaming. Line was hot so job done slow and with ops standing by. flushed impulse/sample line. still little hunting but acceptable. notif made by ops, maint attended same shift.</x:v>
      </x:c>
    </x:row>
    <x:row r="1186" ht="15" hidden="0" customHeight="1">
      <x:c r="A1186" t="str">
        <x:v>10451185</x:v>
      </x:c>
      <x:c r="B1186" t="str">
        <x:v>40871185</x:v>
      </x:c>
      <x:c r="C1186" t="str">
        <x:v>2026-02-25</x:v>
      </x:c>
      <x:c r="D1186" t="str">
        <x:v>2026-02-27</x:v>
      </x:c>
      <x:c r="E1186" t="str">
        <x:v>2026-02-27</x:v>
      </x:c>
      <x:c r="F1186" t="str">
        <x:v>U400-DEETHANIZER-500</x:v>
      </x:c>
      <x:c r="G1186" t="str">
        <x:v>E-503</x:v>
      </x:c>
      <x:c r="H1186" t="str">
        <x:v>feed bottoms exchanger</x:v>
      </x:c>
      <x:c r="I1186" t="str">
        <x:v>exchanger</x:v>
      </x:c>
      <x:c r="J1186" t="str">
        <x:v>P4</x:v>
      </x:c>
      <x:c r="K1186" t="str">
        <x:v>CLSD</x:v>
      </x:c>
      <x:c r="L1186" t="str">
        <x:v>E&amp;I</x:v>
      </x:c>
      <x:c r="M1186" t="str">
        <x:v>feed_temperature_ramp</x:v>
      </x:c>
      <x:c r="N1186" t="str">
        <x:v>tube fouling</x:v>
      </x:c>
      <x:c r="O1186" t="str">
        <x:v>FOULING</x:v>
      </x:c>
      <x:c r="P1186" t="str">
        <x:v>PROCESS</x:v>
      </x:c>
      <x:c r="Q1186" t="str">
        <x:v>N</x:v>
      </x:c>
      <x:c r="R1186" t="str">
        <x:v>13.2</x:v>
      </x:c>
      <x:c r="S1186" t="str">
        <x:v>11232.37</x:v>
      </x:c>
      <x:c r="T1186" t="str">
        <x:v>E-503 tube fouling again, prod upset</x:v>
      </x:c>
      <x:c r="U1186" t="str">
        <x:v>night called for E-503 feed bottoms exchanger, feed temp high seen during feed temperature ramp. Foud tube fouling; duty low, delta t poor. Tag plate dirty, confirmd by line up with panel. cleaned and put back online. temp repair only, plan shutdown job. notif made by ops, maint attended same shift.</x:v>
      </x:c>
    </x:row>
    <x:row r="1187" ht="15" hidden="0" customHeight="1">
      <x:c r="A1187" t="str">
        <x:v>10451186</x:v>
      </x:c>
      <x:c r="B1187" t="str">
        <x:v>40871186</x:v>
      </x:c>
      <x:c r="C1187" t="str">
        <x:v>2026-02-27</x:v>
      </x:c>
      <x:c r="D1187" t="str">
        <x:v>2026-02-28</x:v>
      </x:c>
      <x:c r="E1187" t="str">
        <x:v>2026-03-02</x:v>
      </x:c>
      <x:c r="F1187" t="str">
        <x:v>U400-DEETHANIZER-500</x:v>
      </x:c>
      <x:c r="G1187" t="str">
        <x:v>TV-502</x:v>
      </x:c>
      <x:c r="H1187" t="str">
        <x:v>condenser cooling valve</x:v>
      </x:c>
      <x:c r="I1187" t="str">
        <x:v>control_valve</x:v>
      </x:c>
      <x:c r="J1187" t="str">
        <x:v>P3</x:v>
      </x:c>
      <x:c r="K1187" t="str">
        <x:v>TECO</x:v>
      </x:c>
      <x:c r="L1187" t="str">
        <x:v>INST</x:v>
      </x:c>
      <x:c r="M1187" t="str">
        <x:v>reflux_pump_degradation</x:v>
      </x:c>
      <x:c r="N1187" t="str">
        <x:v>stiction</x:v>
      </x:c>
      <x:c r="O1187" t="str">
        <x:v>STICK</x:v>
      </x:c>
      <x:c r="P1187" t="str">
        <x:v>PACKING</x:v>
      </x:c>
      <x:c r="Q1187" t="str">
        <x:v>N</x:v>
      </x:c>
      <x:c r="R1187" t="str">
        <x:v>1.8</x:v>
      </x:c>
      <x:c r="S1187" t="str">
        <x:v>2262.87</x:v>
      </x:c>
      <x:c r="T1187" t="str">
        <x:v>TV-502 stiction again, prod upset</x:v>
      </x:c>
      <x:c r="U1187" t="str">
        <x:v>A shift called for TV-502 condenser cooling vavle, low reflux seen during reflux pump degradation. Foud stiction; stem sticky and pos err. No spare in store at first, used refurb one from shop. stroke tested, response better. unit stable now. notif made by ops, maint attended same shift.</x:v>
      </x:c>
    </x:row>
    <x:row r="1188" ht="15" hidden="0" customHeight="1">
      <x:c r="A1188" t="str">
        <x:v>10451187</x:v>
      </x:c>
      <x:c r="B1188" t="str">
        <x:v>40871187</x:v>
      </x:c>
      <x:c r="C1188" t="str">
        <x:v>2026-03-03</x:v>
      </x:c>
      <x:c r="D1188" t="str">
        <x:v>2026-03-04</x:v>
      </x:c>
      <x:c r="E1188" t="str">
        <x:v>2026-03-05</x:v>
      </x:c>
      <x:c r="F1188" t="str">
        <x:v>U400-DEETHANIZER-500</x:v>
      </x:c>
      <x:c r="G1188" t="str">
        <x:v>P-502A</x:v>
      </x:c>
      <x:c r="H1188" t="str">
        <x:v>bottoms pump A</x:v>
      </x:c>
      <x:c r="I1188" t="str">
        <x:v>pump</x:v>
      </x:c>
      <x:c r="J1188" t="str">
        <x:v>P2</x:v>
      </x:c>
      <x:c r="K1188" t="str">
        <x:v>TECO</x:v>
      </x:c>
      <x:c r="L1188" t="str">
        <x:v>MECH</x:v>
      </x:c>
      <x:c r="M1188" t="str">
        <x:v>reboiler_duty_loss</x:v>
      </x:c>
      <x:c r="N1188" t="str">
        <x:v>seal leak</x:v>
      </x:c>
      <x:c r="O1188" t="str">
        <x:v>MECH_SEAL</x:v>
      </x:c>
      <x:c r="P1188" t="str">
        <x:v>SEAL</x:v>
      </x:c>
      <x:c r="Q1188" t="str">
        <x:v>N</x:v>
      </x:c>
      <x:c r="R1188" t="str">
        <x:v>7.1</x:v>
      </x:c>
      <x:c r="S1188" t="str">
        <x:v>7264.31</x:v>
      </x:c>
      <x:c r="T1188" t="str">
        <x:v>P-502A seal leak chk &amp; revert</x:v>
      </x:c>
      <x:c r="U1188" t="str">
        <x:v>A shift called for P-502A bottoms pump A, tray temp low seen during reboiler duty loss. Foud seal leak; seal face worn / dry run signs. Line was hot so job done slow and with ops standing by. replaced positioner tubing and retuned small. ops says ok for now. notif made by ops, maint attended same shift.</x:v>
      </x:c>
    </x:row>
    <x:row r="1189" ht="15" hidden="0" customHeight="1">
      <x:c r="A1189" t="str">
        <x:v>10451188</x:v>
      </x:c>
      <x:c r="B1189" t="str">
        <x:v>40871188</x:v>
      </x:c>
      <x:c r="C1189" t="str">
        <x:v>2026-03-02</x:v>
      </x:c>
      <x:c r="D1189" t="str">
        <x:v>2026-03-02</x:v>
      </x:c>
      <x:c r="E1189" t="str">
        <x:v>2026-03-03</x:v>
      </x:c>
      <x:c r="F1189" t="str">
        <x:v>U400-DEETHANIZER-500</x:v>
      </x:c>
      <x:c r="G1189" t="str">
        <x:v>P-502B</x:v>
      </x:c>
      <x:c r="H1189" t="str">
        <x:v>bottoms pump B</x:v>
      </x:c>
      <x:c r="I1189" t="str">
        <x:v>pump</x:v>
      </x:c>
      <x:c r="J1189" t="str">
        <x:v>P2</x:v>
      </x:c>
      <x:c r="K1189" t="str">
        <x:v>CLSD</x:v>
      </x:c>
      <x:c r="L1189" t="str">
        <x:v>ROT</x:v>
      </x:c>
      <x:c r="M1189" t="str">
        <x:v>valve_stiction</x:v>
      </x:c>
      <x:c r="N1189" t="str">
        <x:v>seal leak</x:v>
      </x:c>
      <x:c r="O1189" t="str">
        <x:v>MECH_SEAL</x:v>
      </x:c>
      <x:c r="P1189" t="str">
        <x:v>SEAL</x:v>
      </x:c>
      <x:c r="Q1189" t="str">
        <x:v>Y</x:v>
      </x:c>
      <x:c r="R1189" t="str">
        <x:v>11.1</x:v>
      </x:c>
      <x:c r="S1189" t="str">
        <x:v>6761.03</x:v>
      </x:c>
      <x:c r="T1189" t="str">
        <x:v>P-502B seal leak ops req</x:v>
      </x:c>
      <x:c r="U1189" t="str">
        <x:v>C shift called for P-502B bottoms pump B, position bad seen during valve stiction. Foud seal leak; seal face worn / dry run signs. flushed impulse/sample line. temp repair only, plan shutdown job. notif made by ops, maint attended same shift.</x:v>
      </x:c>
    </x:row>
    <x:row r="1190" ht="15" hidden="0" customHeight="1">
      <x:c r="A1190" t="str">
        <x:v>10451189</x:v>
      </x:c>
      <x:c r="B1190" t="str">
        <x:v>40871189</x:v>
      </x:c>
      <x:c r="C1190" t="str">
        <x:v>2026-03-02</x:v>
      </x:c>
      <x:c r="D1190" t="str">
        <x:v>2026-03-02</x:v>
      </x:c>
      <x:c r="E1190" t="str">
        <x:v>2026-03-03</x:v>
      </x:c>
      <x:c r="F1190" t="str">
        <x:v>U400-DEETHANIZER-500</x:v>
      </x:c>
      <x:c r="G1190" t="str">
        <x:v>E-501</x:v>
      </x:c>
      <x:c r="H1190" t="str">
        <x:v>deethanizer reboiler</x:v>
      </x:c>
      <x:c r="I1190" t="str">
        <x:v>reboiler</x:v>
      </x:c>
      <x:c r="J1190" t="str">
        <x:v>P3</x:v>
      </x:c>
      <x:c r="K1190" t="str">
        <x:v>TECO</x:v>
      </x:c>
      <x:c r="L1190" t="str">
        <x:v>ROT</x:v>
      </x:c>
      <x:c r="M1190" t="str">
        <x:v>feed_temperature_ramp</x:v>
      </x:c>
      <x:c r="N1190" t="str">
        <x:v>low duty</x:v>
      </x:c>
      <x:c r="O1190" t="str">
        <x:v>DUTY_LOSS</x:v>
      </x:c>
      <x:c r="P1190" t="str">
        <x:v>UTILITY</x:v>
      </x:c>
      <x:c r="Q1190" t="str">
        <x:v>N</x:v>
      </x:c>
      <x:c r="R1190" t="str">
        <x:v>13.9</x:v>
      </x:c>
      <x:c r="S1190" t="str">
        <x:v>14588.73</x:v>
      </x:c>
      <x:c r="T1190" t="str">
        <x:v>E-501 not ok after feed temp ramp</x:v>
      </x:c>
      <x:c r="U1190" t="str">
        <x:v>B shift called for E-501 deethanizer reboiler, spec off seen during feed temperature ramp. Foud low duty; hm valve/strainer issue. swapped to standby and repaired. ops says ok for now. notif made by ops, maint attended same shift.</x:v>
      </x:c>
    </x:row>
    <x:row r="1191" ht="15" hidden="0" customHeight="1">
      <x:c r="A1191" t="str">
        <x:v>10451190</x:v>
      </x:c>
      <x:c r="B1191" t="str">
        <x:v>40871190</x:v>
      </x:c>
      <x:c r="C1191" t="str">
        <x:v>2026-03-04</x:v>
      </x:c>
      <x:c r="D1191" t="str">
        <x:v>2026-03-06</x:v>
      </x:c>
      <x:c r="E1191" t="str">
        <x:v>2026-03-08</x:v>
      </x:c>
      <x:c r="F1191" t="str">
        <x:v>U400-DEETHANIZER-500</x:v>
      </x:c>
      <x:c r="G1191" t="str">
        <x:v>TT-503</x:v>
      </x:c>
      <x:c r="H1191" t="str">
        <x:v>reboiler outlet temperature tx</x:v>
      </x:c>
      <x:c r="I1191" t="str">
        <x:v>instrument</x:v>
      </x:c>
      <x:c r="J1191" t="str">
        <x:v>P3</x:v>
      </x:c>
      <x:c r="K1191" t="str">
        <x:v>COMP</x:v>
      </x:c>
      <x:c r="L1191" t="str">
        <x:v>ANLYZR</x:v>
      </x:c>
      <x:c r="M1191" t="str">
        <x:v>reboiler_duty_loss</x:v>
      </x:c>
      <x:c r="N1191" t="str">
        <x:v>no signal</x:v>
      </x:c>
      <x:c r="O1191" t="str">
        <x:v>NO_SIGNAL</x:v>
      </x:c>
      <x:c r="P1191" t="str">
        <x:v>ELEC</x:v>
      </x:c>
      <x:c r="Q1191" t="str">
        <x:v>N</x:v>
      </x:c>
      <x:c r="R1191" t="str">
        <x:v>4.3</x:v>
      </x:c>
      <x:c r="S1191" t="str">
        <x:v>2927.62</x:v>
      </x:c>
      <x:c r="T1191" t="str">
        <x:v>TT-503 no signal again, prod upset</x:v>
      </x:c>
      <x:c r="U1191" t="str">
        <x:v>days called for TT-503 reboiler outlet temperature tx, low heat seen during reboiler duty loss. Foud no signal; 24v or card issue. Tag plate dirty, confirmd by line up with panel. cleaned and put back online. need watch next feed swing. notif made by ops, maint attended same shift.</x:v>
      </x:c>
    </x:row>
    <x:row r="1192" ht="15" hidden="0" customHeight="1">
      <x:c r="A1192" t="str">
        <x:v>10451191</x:v>
      </x:c>
      <x:c r="B1192" t="str">
        <x:v>40871191</x:v>
      </x:c>
      <x:c r="C1192" t="str">
        <x:v>2026-03-08</x:v>
      </x:c>
      <x:c r="D1192" t="str">
        <x:v>2026-03-08</x:v>
      </x:c>
      <x:c r="E1192" t="str">
        <x:v>2026-03-09</x:v>
      </x:c>
      <x:c r="F1192" t="str">
        <x:v>U400-DEETHANIZER-500</x:v>
      </x:c>
      <x:c r="G1192" t="str">
        <x:v>PT-501</x:v>
      </x:c>
      <x:c r="H1192" t="str">
        <x:v>column overhead pressure tx</x:v>
      </x:c>
      <x:c r="I1192" t="str">
        <x:v>instrument</x:v>
      </x:c>
      <x:c r="J1192" t="str">
        <x:v>P4</x:v>
      </x:c>
      <x:c r="K1192" t="str">
        <x:v>CLSD</x:v>
      </x:c>
      <x:c r="L1192" t="str">
        <x:v>ANLYZR</x:v>
      </x:c>
      <x:c r="M1192" t="str">
        <x:v>condenser_fouling</x:v>
      </x:c>
      <x:c r="N1192" t="str">
        <x:v>range err</x:v>
      </x:c>
      <x:c r="O1192" t="str">
        <x:v>SPAN</x:v>
      </x:c>
      <x:c r="P1192" t="str">
        <x:v>CAL</x:v>
      </x:c>
      <x:c r="Q1192" t="str">
        <x:v>N</x:v>
      </x:c>
      <x:c r="R1192" t="str">
        <x:v>1.9</x:v>
      </x:c>
      <x:c r="S1192" t="str">
        <x:v>6564.52</x:v>
      </x:c>
      <x:c r="T1192" t="str">
        <x:v>PT-501 range err again, prod upset</x:v>
      </x:c>
      <x:c r="U1192" t="str">
        <x:v>C shift called for PT-501 colmn overhead pressure tx, pic wide open seen during condnsr fouling. Foud range err; span shifted. stroke tested, response better. unit stable now. notif made by ops, maint attended same shift.</x:v>
      </x:c>
    </x:row>
    <x:row r="1193" ht="15" hidden="0" customHeight="1">
      <x:c r="A1193" t="str">
        <x:v>10451192</x:v>
      </x:c>
      <x:c r="B1193" t="str">
        <x:v>40871192</x:v>
      </x:c>
      <x:c r="C1193" t="str">
        <x:v>2026-03-06</x:v>
      </x:c>
      <x:c r="D1193" t="str">
        <x:v>2026-03-07</x:v>
      </x:c>
      <x:c r="E1193" t="str">
        <x:v>2026-03-09</x:v>
      </x:c>
      <x:c r="F1193" t="str">
        <x:v>U400-DEETHANIZER-500</x:v>
      </x:c>
      <x:c r="G1193" t="str">
        <x:v>FT-501</x:v>
      </x:c>
      <x:c r="H1193" t="str">
        <x:v>feed flow transmitter</x:v>
      </x:c>
      <x:c r="I1193" t="str">
        <x:v>instrument</x:v>
      </x:c>
      <x:c r="J1193" t="str">
        <x:v>P4</x:v>
      </x:c>
      <x:c r="K1193" t="str">
        <x:v>COMP</x:v>
      </x:c>
      <x:c r="L1193" t="str">
        <x:v>INST</x:v>
      </x:c>
      <x:c r="M1193" t="str">
        <x:v>feed_flow_step</x:v>
      </x:c>
      <x:c r="N1193" t="str">
        <x:v>no signal</x:v>
      </x:c>
      <x:c r="O1193" t="str">
        <x:v>NO_SIGNAL</x:v>
      </x:c>
      <x:c r="P1193" t="str">
        <x:v>ELEC</x:v>
      </x:c>
      <x:c r="Q1193" t="str">
        <x:v>N</x:v>
      </x:c>
      <x:c r="R1193" t="str">
        <x:v>14.4</x:v>
      </x:c>
      <x:c r="S1193" t="str">
        <x:v>2915.58</x:v>
      </x:c>
      <x:c r="T1193" t="str">
        <x:v>FT-501 no signal ops req</x:v>
      </x:c>
      <x:c r="U1193" t="str">
        <x:v>days called for FT-501 feed flow transmitter, fic hunting seen during feed flow step. Foud no signal; 24v or card issue. opened strainer, cleaned black sludge. ops says ok for now. notif made by ops, maint attended same shift.</x:v>
      </x:c>
    </x:row>
    <x:row r="1194" ht="15" hidden="0" customHeight="1">
      <x:c r="A1194" t="str">
        <x:v>10451193</x:v>
      </x:c>
      <x:c r="B1194" t="str">
        <x:v>40871193</x:v>
      </x:c>
      <x:c r="C1194" t="str">
        <x:v>2026-03-08</x:v>
      </x:c>
      <x:c r="D1194" t="str">
        <x:v>2026-03-09</x:v>
      </x:c>
      <x:c r="E1194" t="str">
        <x:v>2026-03-09</x:v>
      </x:c>
      <x:c r="F1194" t="str">
        <x:v>U400-DEETHANIZER-500</x:v>
      </x:c>
      <x:c r="G1194" t="str">
        <x:v>TV-501</x:v>
      </x:c>
      <x:c r="H1194" t="str">
        <x:v>reboiler hot medium valve</x:v>
      </x:c>
      <x:c r="I1194" t="str">
        <x:v>control_valve</x:v>
      </x:c>
      <x:c r="J1194" t="str">
        <x:v>P3</x:v>
      </x:c>
      <x:c r="K1194" t="str">
        <x:v>COMP</x:v>
      </x:c>
      <x:c r="L1194" t="str">
        <x:v>OPS+INST</x:v>
      </x:c>
      <x:c r="M1194" t="str">
        <x:v>feed_flow_step</x:v>
      </x:c>
      <x:c r="N1194" t="str">
        <x:v>air leak</x:v>
      </x:c>
      <x:c r="O1194" t="str">
        <x:v>AIR_LEAK</x:v>
      </x:c>
      <x:c r="P1194" t="str">
        <x:v>TUBING</x:v>
      </x:c>
      <x:c r="Q1194" t="str">
        <x:v>N</x:v>
      </x:c>
      <x:c r="R1194" t="str">
        <x:v>9.6</x:v>
      </x:c>
      <x:c r="S1194" t="str">
        <x:v>2801.43</x:v>
      </x:c>
      <x:c r="T1194" t="str">
        <x:v>TV-501 fic hunting, air leak</x:v>
      </x:c>
      <x:c r="U1194" t="str">
        <x:v>night called for TV-501 reboiler hot medium valve, fic hunting seen during feed flow step. Foud air leak; positioner supply drop. opened strainer, cleaned black sludge. need watch next feed swing. notif made by ops, maint attended same shift.</x:v>
      </x:c>
    </x:row>
    <x:row r="1195" ht="15" hidden="0" customHeight="1">
      <x:c r="A1195" t="str">
        <x:v>10451194</x:v>
      </x:c>
      <x:c r="B1195" t="str">
        <x:v>40871194</x:v>
      </x:c>
      <x:c r="C1195" t="str">
        <x:v>2026-03-12</x:v>
      </x:c>
      <x:c r="D1195" t="str">
        <x:v>2026-03-12</x:v>
      </x:c>
      <x:c r="E1195" t="str">
        <x:v>2026-03-13</x:v>
      </x:c>
      <x:c r="F1195" t="str">
        <x:v>U400-DEETHANIZER-500</x:v>
      </x:c>
      <x:c r="G1195" t="str">
        <x:v>E-502</x:v>
      </x:c>
      <x:c r="H1195" t="str">
        <x:v>deethanizer overhead condenser</x:v>
      </x:c>
      <x:c r="I1195" t="str">
        <x:v>condenser</x:v>
      </x:c>
      <x:c r="J1195" t="str">
        <x:v>P2</x:v>
      </x:c>
      <x:c r="K1195" t="str">
        <x:v>TECO</x:v>
      </x:c>
      <x:c r="L1195" t="str">
        <x:v>ANLYZR</x:v>
      </x:c>
      <x:c r="M1195" t="str">
        <x:v>condenser_fouling</x:v>
      </x:c>
      <x:c r="N1195" t="str">
        <x:v>cw fouling</x:v>
      </x:c>
      <x:c r="O1195" t="str">
        <x:v>FOULING</x:v>
      </x:c>
      <x:c r="P1195" t="str">
        <x:v>UTILITY</x:v>
      </x:c>
      <x:c r="Q1195" t="str">
        <x:v>N</x:v>
      </x:c>
      <x:c r="R1195" t="str">
        <x:v>13.8</x:v>
      </x:c>
      <x:c r="S1195" t="str">
        <x:v>8349.04</x:v>
      </x:c>
      <x:c r="T1195" t="str">
        <x:v>E-502 not ok after condnsr fouling</x:v>
      </x:c>
      <x:c r="U1195" t="str">
        <x:v>A shift called for E-502 deethanizer overhead condenser, drum temp hi seen during condenser fouling. Foud cw fouling; cw side scaled. Line was hot so job done slow and with ops standing by. stroke tested, response better. need watch next feed swing. notif made by ops, maint attended same shift.</x:v>
      </x:c>
    </x:row>
    <x:row r="1196" ht="15" hidden="0" customHeight="1">
      <x:c r="A1196" t="str">
        <x:v>10451195</x:v>
      </x:c>
      <x:c r="B1196" t="str">
        <x:v>40871195</x:v>
      </x:c>
      <x:c r="C1196" t="str">
        <x:v>2026-03-11</x:v>
      </x:c>
      <x:c r="D1196" t="str">
        <x:v>2026-03-11</x:v>
      </x:c>
      <x:c r="E1196" t="str">
        <x:v>2026-03-18</x:v>
      </x:c>
      <x:c r="F1196" t="str">
        <x:v>U400-DEETHANIZER-500</x:v>
      </x:c>
      <x:c r="G1196" t="str">
        <x:v>P-501B</x:v>
      </x:c>
      <x:c r="H1196" t="str">
        <x:v>reflux pump B</x:v>
      </x:c>
      <x:c r="I1196" t="str">
        <x:v>pump</x:v>
      </x:c>
      <x:c r="J1196" t="str">
        <x:v>P4</x:v>
      </x:c>
      <x:c r="K1196" t="str">
        <x:v>CLSD</x:v>
      </x:c>
      <x:c r="L1196" t="str">
        <x:v>E&amp;I</x:v>
      </x:c>
      <x:c r="M1196" t="str">
        <x:v>reflux_pump_degradation</x:v>
      </x:c>
      <x:c r="N1196" t="str">
        <x:v>bearing hot</x:v>
      </x:c>
      <x:c r="O1196" t="str">
        <x:v>BRG</x:v>
      </x:c>
      <x:c r="P1196" t="str">
        <x:v>WEAR</x:v>
      </x:c>
      <x:c r="Q1196" t="str">
        <x:v>N</x:v>
      </x:c>
      <x:c r="R1196" t="str">
        <x:v>16.8</x:v>
      </x:c>
      <x:c r="S1196" t="str">
        <x:v>2430.76</x:v>
      </x:c>
      <x:c r="T1196" t="str">
        <x:v>chk P-501B - bearing hot frm ops</x:v>
      </x:c>
      <x:c r="U1196" t="str">
        <x:v>night called for P-501B reflux pump B, seal weep seen during reflux pump degradation. Foud bearing hot; brg rough, lube dark. changed gasket and boxed up. readng close to dcs after job. notif made by ops, maint attended same shift.</x:v>
      </x:c>
    </x:row>
    <x:row r="1197" ht="15" hidden="0" customHeight="1">
      <x:c r="A1197" t="str">
        <x:v>10451196</x:v>
      </x:c>
      <x:c r="B1197" t="str">
        <x:v>40871196</x:v>
      </x:c>
      <x:c r="C1197" t="str">
        <x:v>2026-03-13</x:v>
      </x:c>
      <x:c r="D1197" t="str">
        <x:v>2026-03-13</x:v>
      </x:c>
      <x:c r="E1197" t="str">
        <x:v>2026-03-15</x:v>
      </x:c>
      <x:c r="F1197" t="str">
        <x:v>U400-DEETHANIZER-500</x:v>
      </x:c>
      <x:c r="G1197" t="str">
        <x:v>FV-501</x:v>
      </x:c>
      <x:c r="H1197" t="str">
        <x:v>feed flow control valve</x:v>
      </x:c>
      <x:c r="I1197" t="str">
        <x:v>control_valve</x:v>
      </x:c>
      <x:c r="J1197" t="str">
        <x:v>P3</x:v>
      </x:c>
      <x:c r="K1197" t="str">
        <x:v>TECO</x:v>
      </x:c>
      <x:c r="L1197" t="str">
        <x:v>VALVE</x:v>
      </x:c>
      <x:c r="M1197" t="str">
        <x:v>feed_flow_step</x:v>
      </x:c>
      <x:c r="N1197" t="str">
        <x:v>passing</x:v>
      </x:c>
      <x:c r="O1197" t="str">
        <x:v>LEAK_BY</x:v>
      </x:c>
      <x:c r="P1197" t="str">
        <x:v>SEAT</x:v>
      </x:c>
      <x:c r="Q1197" t="str">
        <x:v>N</x:v>
      </x:c>
      <x:c r="R1197" t="str">
        <x:v>15.6</x:v>
      </x:c>
      <x:c r="S1197" t="str">
        <x:v>72.56</x:v>
      </x:c>
      <x:c r="T1197" t="str">
        <x:v>chk FV-501 - passing frm ops</x:v>
      </x:c>
      <x:c r="U1197" t="str">
        <x:v>A shift called for FV-501 feed flow control valve, c2 recov down seen during feed flow step. Foud passing; seat leak by. Tag plate dirty, confirmd by line up with panel. stroke tested, response better. still little hunting but acceptable. notif made by ops, maint attended same shift.</x:v>
      </x:c>
    </x:row>
    <x:row r="1198" ht="15" hidden="0" customHeight="1">
      <x:c r="A1198" t="str">
        <x:v>10451197</x:v>
      </x:c>
      <x:c r="B1198" t="str">
        <x:v>40871197</x:v>
      </x:c>
      <x:c r="C1198" t="str">
        <x:v>2026-03-18</x:v>
      </x:c>
      <x:c r="D1198" t="str">
        <x:v>2026-03-18</x:v>
      </x:c>
      <x:c r="E1198" t="str">
        <x:v>2026-03-19</x:v>
      </x:c>
      <x:c r="F1198" t="str">
        <x:v>U400-DEETHANIZER-500</x:v>
      </x:c>
      <x:c r="G1198" t="str">
        <x:v>FV-501</x:v>
      </x:c>
      <x:c r="H1198" t="str">
        <x:v>feed flow control valve</x:v>
      </x:c>
      <x:c r="I1198" t="str">
        <x:v>control_valve</x:v>
      </x:c>
      <x:c r="J1198" t="str">
        <x:v>P1</x:v>
      </x:c>
      <x:c r="K1198" t="str">
        <x:v>TECO</x:v>
      </x:c>
      <x:c r="L1198" t="str">
        <x:v>VALVE</x:v>
      </x:c>
      <x:c r="M1198" t="str">
        <x:v>valve_stiction</x:v>
      </x:c>
      <x:c r="N1198" t="str">
        <x:v>hunting loop</x:v>
      </x:c>
      <x:c r="O1198" t="str">
        <x:v>CTRL_OSC</x:v>
      </x:c>
      <x:c r="P1198" t="str">
        <x:v>TUNE</x:v>
      </x:c>
      <x:c r="Q1198" t="str">
        <x:v>N</x:v>
      </x:c>
      <x:c r="R1198" t="str">
        <x:v>13.3</x:v>
      </x:c>
      <x:c r="S1198" t="str">
        <x:v>5090.6</x:v>
      </x:c>
      <x:c r="T1198" t="str">
        <x:v>FV-501 not ok after valve stiction</x:v>
      </x:c>
      <x:c r="U1198" t="str">
        <x:v>C shift called for FV-501 feed flow control valve, air leak seen during valve stiction. Foud hunting loop; bad response after upset. replaced positioner tubing and retuned small. readng close to dcs after job. notif made by ops, maint attended same shift.</x:v>
      </x:c>
    </x:row>
    <x:row r="1199" ht="15" hidden="0" customHeight="1">
      <x:c r="A1199" t="str">
        <x:v>10451198</x:v>
      </x:c>
      <x:c r="B1199" t="str">
        <x:v>40871198</x:v>
      </x:c>
      <x:c r="C1199" t="str">
        <x:v>2026-03-19</x:v>
      </x:c>
      <x:c r="D1199" t="str">
        <x:v>2026-03-19</x:v>
      </x:c>
      <x:c r="E1199" t="str">
        <x:v>2026-03-22</x:v>
      </x:c>
      <x:c r="F1199" t="str">
        <x:v>U400-DEETHANIZER-500</x:v>
      </x:c>
      <x:c r="G1199" t="str">
        <x:v>PV-501</x:v>
      </x:c>
      <x:c r="H1199" t="str">
        <x:v>column pressure control valve</x:v>
      </x:c>
      <x:c r="I1199" t="str">
        <x:v>control_valve</x:v>
      </x:c>
      <x:c r="J1199" t="str">
        <x:v>P1</x:v>
      </x:c>
      <x:c r="K1199" t="str">
        <x:v>COMP</x:v>
      </x:c>
      <x:c r="L1199" t="str">
        <x:v>OPS+MECH</x:v>
      </x:c>
      <x:c r="M1199" t="str">
        <x:v>reflux_pump_degradation</x:v>
      </x:c>
      <x:c r="N1199" t="str">
        <x:v>hunting loop</x:v>
      </x:c>
      <x:c r="O1199" t="str">
        <x:v>CTRL_OSC</x:v>
      </x:c>
      <x:c r="P1199" t="str">
        <x:v>TUNE</x:v>
      </x:c>
      <x:c r="Q1199" t="str">
        <x:v>N</x:v>
      </x:c>
      <x:c r="R1199" t="str">
        <x:v>3.1</x:v>
      </x:c>
      <x:c r="S1199" t="str">
        <x:v>6136.2</x:v>
      </x:c>
      <x:c r="T1199" t="str">
        <x:v>PV-501 disch press low, hunting loop</x:v>
      </x:c>
      <x:c r="U1199" t="str">
        <x:v>A shift called for PV-501 column press control valve, low reflux seen during reflux pump degradation. Foud hunting loop; bad response after upset. calibrated, loop checked with CCR. no leak at handover. notif made by ops, maint attended same shift.</x:v>
      </x:c>
    </x:row>
    <x:row r="1200" ht="15" hidden="0" customHeight="1">
      <x:c r="A1200" t="str">
        <x:v>10451199</x:v>
      </x:c>
      <x:c r="B1200" t="str">
        <x:v>40871199</x:v>
      </x:c>
      <x:c r="C1200" t="str">
        <x:v>2026-03-16</x:v>
      </x:c>
      <x:c r="D1200" t="str">
        <x:v>2026-03-17</x:v>
      </x:c>
      <x:c r="E1200" t="str">
        <x:v>2026-03-19</x:v>
      </x:c>
      <x:c r="F1200" t="str">
        <x:v>U400-DEETHANIZER-500</x:v>
      </x:c>
      <x:c r="G1200" t="str">
        <x:v>FV-502</x:v>
      </x:c>
      <x:c r="H1200" t="str">
        <x:v>reflux flow control valve</x:v>
      </x:c>
      <x:c r="I1200" t="str">
        <x:v>control_valve</x:v>
      </x:c>
      <x:c r="J1200" t="str">
        <x:v>P3</x:v>
      </x:c>
      <x:c r="K1200" t="str">
        <x:v>CLSD</x:v>
      </x:c>
      <x:c r="L1200" t="str">
        <x:v>ROT</x:v>
      </x:c>
      <x:c r="M1200" t="str">
        <x:v>valve_stiction</x:v>
      </x:c>
      <x:c r="N1200" t="str">
        <x:v>air leak</x:v>
      </x:c>
      <x:c r="O1200" t="str">
        <x:v>AIR_LEAK</x:v>
      </x:c>
      <x:c r="P1200" t="str">
        <x:v>TUBING</x:v>
      </x:c>
      <x:c r="Q1200" t="str">
        <x:v>N</x:v>
      </x:c>
      <x:c r="R1200" t="str">
        <x:v>8.0</x:v>
      </x:c>
      <x:c r="S1200" t="str">
        <x:v>5831.01</x:v>
      </x:c>
      <x:c r="T1200" t="str">
        <x:v>chk FV-502 - air leak frm ops</x:v>
      </x:c>
      <x:c r="U1200" t="str">
        <x:v>B shift called for FV-502 reflux flow control valve, position bad seen during valve stiction. Foud air leak; positioner supply drop. replaced positioner tubing and retuned small. need watch next feed swing. notif made by ops, maint attended same shift.</x:v>
      </x:c>
    </x:row>
    <x:row r="1201" ht="15" hidden="0" customHeight="1">
      <x:c r="A1201" t="str">
        <x:v>10451200</x:v>
      </x:c>
      <x:c r="B1201" t="str">
        <x:v>40871200</x:v>
      </x:c>
      <x:c r="C1201" t="str">
        <x:v>2026-03-17</x:v>
      </x:c>
      <x:c r="D1201" t="str">
        <x:v>2026-03-17</x:v>
      </x:c>
      <x:c r="E1201" t="str">
        <x:v>2026-03-20</x:v>
      </x:c>
      <x:c r="F1201" t="str">
        <x:v>U400-DEETHANIZER-500</x:v>
      </x:c>
      <x:c r="G1201" t="str">
        <x:v>TV-502</x:v>
      </x:c>
      <x:c r="H1201" t="str">
        <x:v>condenser cooling valve</x:v>
      </x:c>
      <x:c r="I1201" t="str">
        <x:v>control_valve</x:v>
      </x:c>
      <x:c r="J1201" t="str">
        <x:v>P2</x:v>
      </x:c>
      <x:c r="K1201" t="str">
        <x:v>COMP</x:v>
      </x:c>
      <x:c r="L1201" t="str">
        <x:v>OPS+MECH</x:v>
      </x:c>
      <x:c r="M1201" t="str">
        <x:v>valve_stiction</x:v>
      </x:c>
      <x:c r="N1201" t="str">
        <x:v>stiction</x:v>
      </x:c>
      <x:c r="O1201" t="str">
        <x:v>STICK</x:v>
      </x:c>
      <x:c r="P1201" t="str">
        <x:v>PACKING</x:v>
      </x:c>
      <x:c r="Q1201" t="str">
        <x:v>N</x:v>
      </x:c>
      <x:c r="R1201" t="str">
        <x:v>6.1</x:v>
      </x:c>
      <x:c r="S1201" t="str">
        <x:v>713.85</x:v>
      </x:c>
      <x:c r="T1201" t="str">
        <x:v>TV-502 valve sticking, stiction</x:v>
      </x:c>
      <x:c r="U1201" t="str">
        <x:v>days called for TV-502 condenser cooling valve, loop cycling seen during valve stiction. Foud stiction; stem sticky and pos err. History shows same complain last mnth. reset trip and monitored for 2 hrs. still little hunting but acceptable. notif made by ops, maint attended same shift.</x:v>
      </x:c>
    </x:row>
    <x:row r="1202" ht="15" hidden="0" customHeight="1">
      <x:c r="A1202" t="str">
        <x:v>10451201</x:v>
      </x:c>
      <x:c r="B1202" t="str">
        <x:v>40871201</x:v>
      </x:c>
      <x:c r="C1202" t="str">
        <x:v>2026-03-23</x:v>
      </x:c>
      <x:c r="D1202" t="str">
        <x:v>2026-03-23</x:v>
      </x:c>
      <x:c r="E1202" t="str">
        <x:v>2026-03-24</x:v>
      </x:c>
      <x:c r="F1202" t="str">
        <x:v>U400-DEETHANIZER-500</x:v>
      </x:c>
      <x:c r="G1202" t="str">
        <x:v>TT-501B</x:v>
      </x:c>
      <x:c r="H1202" t="str">
        <x:v>sensitive tray temperature tx</x:v>
      </x:c>
      <x:c r="I1202" t="str">
        <x:v>instrument</x:v>
      </x:c>
      <x:c r="J1202" t="str">
        <x:v>P3</x:v>
      </x:c>
      <x:c r="K1202" t="str">
        <x:v>TECO</x:v>
      </x:c>
      <x:c r="L1202" t="str">
        <x:v>OPS+INST</x:v>
      </x:c>
      <x:c r="M1202" t="str">
        <x:v>reboiler_duty_loss</x:v>
      </x:c>
      <x:c r="N1202" t="str">
        <x:v>bad reading</x:v>
      </x:c>
      <x:c r="O1202" t="str">
        <x:v>DRIFT</x:v>
      </x:c>
      <x:c r="P1202" t="str">
        <x:v>CAL</x:v>
      </x:c>
      <x:c r="Q1202" t="str">
        <x:v>N</x:v>
      </x:c>
      <x:c r="R1202" t="str">
        <x:v>17.7</x:v>
      </x:c>
      <x:c r="S1202" t="str">
        <x:v>5143.71</x:v>
      </x:c>
      <x:c r="T1202" t="str">
        <x:v>TT-501B not ok after reboiler duty loss</x:v>
      </x:c>
      <x:c r="U1202" t="str">
        <x:v>days called for TT-501B sensitive tray temperature tx, rb circ cold seen during reboiler duty loss. Foud bad reading; needs calib. stroke tested, response better. temp repair only, plan shutdown job. notif made by ops, maint attended same shift.</x:v>
      </x:c>
    </x:row>
    <x:row r="1203" ht="15" hidden="0" customHeight="1">
      <x:c r="A1203" t="str">
        <x:v>10451202</x:v>
      </x:c>
      <x:c r="B1203" t="str">
        <x:v>40871202</x:v>
      </x:c>
      <x:c r="C1203" t="str">
        <x:v>2026-03-23</x:v>
      </x:c>
      <x:c r="D1203" t="str">
        <x:v>2026-03-23</x:v>
      </x:c>
      <x:c r="E1203" t="str">
        <x:v>2026-03-24</x:v>
      </x:c>
      <x:c r="F1203" t="str">
        <x:v>U400-DEETHANIZER-500</x:v>
      </x:c>
      <x:c r="G1203" t="str">
        <x:v>E-502</x:v>
      </x:c>
      <x:c r="H1203" t="str">
        <x:v>deethanizer overhead condenser</x:v>
      </x:c>
      <x:c r="I1203" t="str">
        <x:v>condenser</x:v>
      </x:c>
      <x:c r="J1203" t="str">
        <x:v>P2</x:v>
      </x:c>
      <x:c r="K1203" t="str">
        <x:v>CLSD</x:v>
      </x:c>
      <x:c r="L1203" t="str">
        <x:v>OPS+INST</x:v>
      </x:c>
      <x:c r="M1203" t="str">
        <x:v>condenser_fouling</x:v>
      </x:c>
      <x:c r="N1203" t="str">
        <x:v>tube leak sus</x:v>
      </x:c>
      <x:c r="O1203" t="str">
        <x:v>LEAK</x:v>
      </x:c>
      <x:c r="P1203" t="str">
        <x:v>TUBE</x:v>
      </x:c>
      <x:c r="Q1203" t="str">
        <x:v>N</x:v>
      </x:c>
      <x:c r="R1203" t="str">
        <x:v>9.6</x:v>
      </x:c>
      <x:c r="S1203" t="str">
        <x:v>3088.14</x:v>
      </x:c>
      <x:c r="T1203" t="str">
        <x:v>E-502 not ok after condenser fouling</x:v>
      </x:c>
      <x:c r="U1203" t="str">
        <x:v>A shift called for E-502 deethanizer overhead condenser, pic wide open seen during condenser fouling. Foud tube leak sus; hydrotest reqd. calibrated, loop chekd with CCR. still little hunting but acceptable. notif made by ops, maint attended same shift.</x:v>
      </x:c>
    </x:row>
    <x:row r="1204" ht="15" hidden="0" customHeight="1">
      <x:c r="A1204" t="str">
        <x:v>10451203</x:v>
      </x:c>
      <x:c r="B1204" t="str">
        <x:v>40871203</x:v>
      </x:c>
      <x:c r="C1204" t="str">
        <x:v>2026-03-25</x:v>
      </x:c>
      <x:c r="D1204" t="str">
        <x:v>2026-03-27</x:v>
      </x:c>
      <x:c r="E1204" t="str">
        <x:v>2026-03-27</x:v>
      </x:c>
      <x:c r="F1204" t="str">
        <x:v>U400-DEETHANIZER-500</x:v>
      </x:c>
      <x:c r="G1204" t="str">
        <x:v>E-503</x:v>
      </x:c>
      <x:c r="H1204" t="str">
        <x:v>feed bottoms exchanger</x:v>
      </x:c>
      <x:c r="I1204" t="str">
        <x:v>exchanger</x:v>
      </x:c>
      <x:c r="J1204" t="str">
        <x:v>P2</x:v>
      </x:c>
      <x:c r="K1204" t="str">
        <x:v>COMP</x:v>
      </x:c>
      <x:c r="L1204" t="str">
        <x:v>E&amp;I</x:v>
      </x:c>
      <x:c r="M1204" t="str">
        <x:v>feed_flow_step</x:v>
      </x:c>
      <x:c r="N1204" t="str">
        <x:v>plugged pass</x:v>
      </x:c>
      <x:c r="O1204" t="str">
        <x:v>PLUG</x:v>
      </x:c>
      <x:c r="P1204" t="str">
        <x:v>FOUL</x:v>
      </x:c>
      <x:c r="Q1204" t="str">
        <x:v>N</x:v>
      </x:c>
      <x:c r="R1204" t="str">
        <x:v>14.8</x:v>
      </x:c>
      <x:c r="S1204" t="str">
        <x:v>2184.35</x:v>
      </x:c>
      <x:c r="T1204" t="str">
        <x:v>chk E-503 - plugged pass frm ops</x:v>
      </x:c>
      <x:c r="U1204" t="str">
        <x:v>A shift called for E-503 feed bottoms exchanger, c2 recov down seen during feed flow step. Foud plugged pass; flow restricted. flushed impulse/sample line. temp repair only, plan shutdown job. notif made by ops, maint attended same shift.</x:v>
      </x:c>
    </x:row>
    <x:row r="1205" ht="15" hidden="0" customHeight="1">
      <x:c r="A1205" t="str">
        <x:v>10451204</x:v>
      </x:c>
      <x:c r="B1205" t="str">
        <x:v>40871204</x:v>
      </x:c>
      <x:c r="C1205" t="str">
        <x:v>2026-03-27</x:v>
      </x:c>
      <x:c r="D1205" t="str">
        <x:v>2026-03-27</x:v>
      </x:c>
      <x:c r="E1205" t="str">
        <x:v>2026-04-03</x:v>
      </x:c>
      <x:c r="F1205" t="str">
        <x:v>U400-DEETHANIZER-500</x:v>
      </x:c>
      <x:c r="G1205" t="str">
        <x:v>PSV-501B</x:v>
      </x:c>
      <x:c r="H1205" t="str">
        <x:v>column relief valve B</x:v>
      </x:c>
      <x:c r="I1205" t="str">
        <x:v>relief</x:v>
      </x:c>
      <x:c r="J1205" t="str">
        <x:v>P3</x:v>
      </x:c>
      <x:c r="K1205" t="str">
        <x:v>TECO</x:v>
      </x:c>
      <x:c r="L1205" t="str">
        <x:v>MECH</x:v>
      </x:c>
      <x:c r="M1205" t="str">
        <x:v>pressure_control_fault</x:v>
      </x:c>
      <x:c r="N1205" t="str">
        <x:v>seat passing</x:v>
      </x:c>
      <x:c r="O1205" t="str">
        <x:v>LEAK_BY</x:v>
      </x:c>
      <x:c r="P1205" t="str">
        <x:v>SEAT</x:v>
      </x:c>
      <x:c r="Q1205" t="str">
        <x:v>N</x:v>
      </x:c>
      <x:c r="R1205" t="str">
        <x:v>4.7</x:v>
      </x:c>
      <x:c r="S1205" t="str">
        <x:v>131.55</x:v>
      </x:c>
      <x:c r="T1205" t="str">
        <x:v>PSV-501B not ok after pressure control fault</x:v>
      </x:c>
      <x:c r="U1205" t="str">
        <x:v>days called for PSV-501B column relief valve B, flare valve checked seen during pressure control fault. Foud seat passing; tail pipe warm. History shows same complain last mnth. replaced positioner tubing and retuned small. temp repair only, plan shutdown job. notif made by ops, maint attended same shift.</x:v>
      </x:c>
    </x:row>
    <x:row r="1206" ht="15" hidden="0" customHeight="1">
      <x:c r="A1206" t="str">
        <x:v>10451205</x:v>
      </x:c>
      <x:c r="B1206" t="str">
        <x:v>40871205</x:v>
      </x:c>
      <x:c r="C1206" t="str">
        <x:v>2026-03-29</x:v>
      </x:c>
      <x:c r="D1206" t="str">
        <x:v>2026-03-31</x:v>
      </x:c>
      <x:c r="E1206" t="str">
        <x:v>2026-03-31</x:v>
      </x:c>
      <x:c r="F1206" t="str">
        <x:v>U400-DEETHANIZER-500</x:v>
      </x:c>
      <x:c r="G1206" t="str">
        <x:v>T-501</x:v>
      </x:c>
      <x:c r="H1206" t="str">
        <x:v>deethanizer column</x:v>
      </x:c>
      <x:c r="I1206" t="str">
        <x:v>column</x:v>
      </x:c>
      <x:c r="J1206" t="str">
        <x:v>P3</x:v>
      </x:c>
      <x:c r="K1206" t="str">
        <x:v>CLSD</x:v>
      </x:c>
      <x:c r="L1206" t="str">
        <x:v>E&amp;I</x:v>
      </x:c>
      <x:c r="M1206" t="str">
        <x:v>feed_composition_shift</x:v>
      </x:c>
      <x:c r="N1206" t="str">
        <x:v>tray temp bad</x:v>
      </x:c>
      <x:c r="O1206" t="str">
        <x:v>TEMP_DEV</x:v>
      </x:c>
      <x:c r="P1206" t="str">
        <x:v>PROCESS</x:v>
      </x:c>
      <x:c r="Q1206" t="str">
        <x:v>N</x:v>
      </x:c>
      <x:c r="R1206" t="str">
        <x:v>17.4</x:v>
      </x:c>
      <x:c r="S1206" t="str">
        <x:v>4144.31</x:v>
      </x:c>
      <x:c r="T1206" t="str">
        <x:v>T-501 tray temp bad again, prod upset</x:v>
      </x:c>
      <x:c r="U1206" t="str">
        <x:v>days called for T-501 deethanizer column, btm heavy seen during feed composition shift. Foud tray temp bad; profile not normal. Line was hot so job done slow and with ops standing by. opened strainer, cleaned black sludge. still little hunting but acceptable. notif made by ops, maint attended same shift.</x:v>
      </x:c>
    </x:row>
    <x:row r="1207" ht="15" hidden="0" customHeight="1">
      <x:c r="A1207" t="str">
        <x:v>10451206</x:v>
      </x:c>
      <x:c r="B1207" t="str">
        <x:v>40871206</x:v>
      </x:c>
      <x:c r="C1207" t="str">
        <x:v>2026-03-27</x:v>
      </x:c>
      <x:c r="D1207" t="str">
        <x:v>2026-03-28</x:v>
      </x:c>
      <x:c r="E1207" t="str">
        <x:v>2026-03-29</x:v>
      </x:c>
      <x:c r="F1207" t="str">
        <x:v>U400-DEETHANIZER-500</x:v>
      </x:c>
      <x:c r="G1207" t="str">
        <x:v>PV-501</x:v>
      </x:c>
      <x:c r="H1207" t="str">
        <x:v>column pressure control valve</x:v>
      </x:c>
      <x:c r="I1207" t="str">
        <x:v>control_valve</x:v>
      </x:c>
      <x:c r="J1207" t="str">
        <x:v>P2</x:v>
      </x:c>
      <x:c r="K1207" t="str">
        <x:v>COMP</x:v>
      </x:c>
      <x:c r="L1207" t="str">
        <x:v>E&amp;I</x:v>
      </x:c>
      <x:c r="M1207" t="str">
        <x:v>condenser_fouling</x:v>
      </x:c>
      <x:c r="N1207" t="str">
        <x:v>hunting loop</x:v>
      </x:c>
      <x:c r="O1207" t="str">
        <x:v>CTRL_OSC</x:v>
      </x:c>
      <x:c r="P1207" t="str">
        <x:v>TUNE</x:v>
      </x:c>
      <x:c r="Q1207" t="str">
        <x:v>N</x:v>
      </x:c>
      <x:c r="R1207" t="str">
        <x:v>13.5</x:v>
      </x:c>
      <x:c r="S1207" t="str">
        <x:v>3970.37</x:v>
      </x:c>
      <x:c r="T1207" t="str">
        <x:v>PV-501 hunting loop again, prod upset</x:v>
      </x:c>
      <x:c r="U1207" t="str">
        <x:v>days called for PV-501 column pressure control valve, high ovhd press seen during condenser fouling. Foud hunting loop; bad response after upset. calibrated, loop checked with CCR. still little hunting but acceptable. notif made by ops, maint attended same shift.</x:v>
      </x:c>
    </x:row>
    <x:row r="1208" ht="15" hidden="0" customHeight="1">
      <x:c r="A1208" t="str">
        <x:v>10451207</x:v>
      </x:c>
      <x:c r="B1208" t="str">
        <x:v>40871207</x:v>
      </x:c>
      <x:c r="C1208" t="str">
        <x:v>2026-03-31</x:v>
      </x:c>
      <x:c r="D1208" t="str">
        <x:v>2026-03-31</x:v>
      </x:c>
      <x:c r="E1208" t="str">
        <x:v>2026-04-05</x:v>
      </x:c>
      <x:c r="F1208" t="str">
        <x:v>U400-DEETHANIZER-500</x:v>
      </x:c>
      <x:c r="G1208" t="str">
        <x:v>LV-502</x:v>
      </x:c>
      <x:c r="H1208" t="str">
        <x:v>bottoms level valve</x:v>
      </x:c>
      <x:c r="I1208" t="str">
        <x:v>control_valve</x:v>
      </x:c>
      <x:c r="J1208" t="str">
        <x:v>P3</x:v>
      </x:c>
      <x:c r="K1208" t="str">
        <x:v>COMP</x:v>
      </x:c>
      <x:c r="L1208" t="str">
        <x:v>INST</x:v>
      </x:c>
      <x:c r="M1208" t="str">
        <x:v>valve_stiction</x:v>
      </x:c>
      <x:c r="N1208" t="str">
        <x:v>air leak</x:v>
      </x:c>
      <x:c r="O1208" t="str">
        <x:v>AIR_LEAK</x:v>
      </x:c>
      <x:c r="P1208" t="str">
        <x:v>TUBING</x:v>
      </x:c>
      <x:c r="Q1208" t="str">
        <x:v>N</x:v>
      </x:c>
      <x:c r="R1208" t="str">
        <x:v>9.6</x:v>
      </x:c>
      <x:c r="S1208" t="str">
        <x:v>6153.47</x:v>
      </x:c>
      <x:c r="T1208" t="str">
        <x:v>LV-502 not ok after valve stiction</x:v>
      </x:c>
      <x:c r="U1208" t="str">
        <x:v>days called for LV-502 bottoms level valve, position bad seen during valve stiction. Foud air leak; positioner supply drop. Line was hot so job done slow and with ops standing by. calibrated, loop checked with CCR. ops says ok for now. notif made by ops, maint attended same shift.</x:v>
      </x:c>
    </x:row>
    <x:row r="1209" ht="15" hidden="0" customHeight="1">
      <x:c r="A1209" t="str">
        <x:v>10451208</x:v>
      </x:c>
      <x:c r="B1209" t="str">
        <x:v>40871208</x:v>
      </x:c>
      <x:c r="C1209" t="str">
        <x:v>2026-04-03</x:v>
      </x:c>
      <x:c r="D1209" t="str">
        <x:v>2026-04-05</x:v>
      </x:c>
      <x:c r="E1209" t="str">
        <x:v>2026-04-05</x:v>
      </x:c>
      <x:c r="F1209" t="str">
        <x:v>U400-DEETHANIZER-500</x:v>
      </x:c>
      <x:c r="G1209" t="str">
        <x:v>TT-501B</x:v>
      </x:c>
      <x:c r="H1209" t="str">
        <x:v>sensitive tray temperature tx</x:v>
      </x:c>
      <x:c r="I1209" t="str">
        <x:v>instrument</x:v>
      </x:c>
      <x:c r="J1209" t="str">
        <x:v>P3</x:v>
      </x:c>
      <x:c r="K1209" t="str">
        <x:v>COMP</x:v>
      </x:c>
      <x:c r="L1209" t="str">
        <x:v>OPS+INST</x:v>
      </x:c>
      <x:c r="M1209" t="str">
        <x:v>feed_temperature_ramp</x:v>
      </x:c>
      <x:c r="N1209" t="str">
        <x:v>no signal</x:v>
      </x:c>
      <x:c r="O1209" t="str">
        <x:v>NO_SIGNAL</x:v>
      </x:c>
      <x:c r="P1209" t="str">
        <x:v>ELEC</x:v>
      </x:c>
      <x:c r="Q1209" t="str">
        <x:v>N</x:v>
      </x:c>
      <x:c r="R1209" t="str">
        <x:v>13.8</x:v>
      </x:c>
      <x:c r="S1209" t="str">
        <x:v>2316.5</x:v>
      </x:c>
      <x:c r="T1209" t="str">
        <x:v>TT-501B ovhd press moving, no signal</x:v>
      </x:c>
      <x:c r="U1209" t="str">
        <x:v>B shift called for TT-501B sensitive tray temperature tx, tray temp drift seen during feed temperature ramp. Foud no signal; 24v or card issue. reset trip and monitored for 2 hrs. no leak at handover. notif made by ops, maint attended same shift.</x:v>
      </x:c>
    </x:row>
    <x:row r="1210" ht="15" hidden="0" customHeight="1">
      <x:c r="A1210" t="str">
        <x:v>10451209</x:v>
      </x:c>
      <x:c r="B1210" t="str">
        <x:v>40871209</x:v>
      </x:c>
      <x:c r="C1210" t="str">
        <x:v>2026-04-03</x:v>
      </x:c>
      <x:c r="D1210" t="str">
        <x:v>2026-04-03</x:v>
      </x:c>
      <x:c r="E1210" t="str">
        <x:v>2026-04-04</x:v>
      </x:c>
      <x:c r="F1210" t="str">
        <x:v>U400-DEETHANIZER-500</x:v>
      </x:c>
      <x:c r="G1210" t="str">
        <x:v>FT-501</x:v>
      </x:c>
      <x:c r="H1210" t="str">
        <x:v>feed flow transmitter</x:v>
      </x:c>
      <x:c r="I1210" t="str">
        <x:v>instrument</x:v>
      </x:c>
      <x:c r="J1210" t="str">
        <x:v>P1</x:v>
      </x:c>
      <x:c r="K1210" t="str">
        <x:v>TECO</x:v>
      </x:c>
      <x:c r="L1210" t="str">
        <x:v>E&amp;I</x:v>
      </x:c>
      <x:c r="M1210" t="str">
        <x:v>feed_flow_step</x:v>
      </x:c>
      <x:c r="N1210" t="str">
        <x:v>impulse plugged</x:v>
      </x:c>
      <x:c r="O1210" t="str">
        <x:v>PLUG</x:v>
      </x:c>
      <x:c r="P1210" t="str">
        <x:v>PROCESS</x:v>
      </x:c>
      <x:c r="Q1210" t="str">
        <x:v>N</x:v>
      </x:c>
      <x:c r="R1210" t="str">
        <x:v>15.8</x:v>
      </x:c>
      <x:c r="S1210" t="str">
        <x:v>6543.35</x:v>
      </x:c>
      <x:c r="T1210" t="str">
        <x:v>chk FT-501 - impulse plugged frm ops</x:v>
      </x:c>
      <x:c r="U1210" t="str">
        <x:v>C shift called for FT-501 feed flow transmitter, lvl swing seen during feed flow step. Foud impulse plugged; tap/line dirty. changed gasket and boxed up. unit stable now. notif made by ops, maint attended same shift.</x:v>
      </x:c>
    </x:row>
    <x:row r="1211" ht="15" hidden="0" customHeight="1">
      <x:c r="A1211" t="str">
        <x:v>10451210</x:v>
      </x:c>
      <x:c r="B1211" t="str">
        <x:v>40871210</x:v>
      </x:c>
      <x:c r="C1211" t="str">
        <x:v>2026-04-01</x:v>
      </x:c>
      <x:c r="D1211" t="str">
        <x:v>2026-04-01</x:v>
      </x:c>
      <x:c r="E1211" t="str">
        <x:v>2026-04-01</x:v>
      </x:c>
      <x:c r="F1211" t="str">
        <x:v>U400-DEETHANIZER-500</x:v>
      </x:c>
      <x:c r="G1211" t="str">
        <x:v>LV-502</x:v>
      </x:c>
      <x:c r="H1211" t="str">
        <x:v>bottoms level valve</x:v>
      </x:c>
      <x:c r="I1211" t="str">
        <x:v>control_valve</x:v>
      </x:c>
      <x:c r="J1211" t="str">
        <x:v>P1</x:v>
      </x:c>
      <x:c r="K1211" t="str">
        <x:v>COMP</x:v>
      </x:c>
      <x:c r="L1211" t="str">
        <x:v>OPS+MECH</x:v>
      </x:c>
      <x:c r="M1211" t="str">
        <x:v>feed_temperature_ramp</x:v>
      </x:c>
      <x:c r="N1211" t="str">
        <x:v>stiction</x:v>
      </x:c>
      <x:c r="O1211" t="str">
        <x:v>STICK</x:v>
      </x:c>
      <x:c r="P1211" t="str">
        <x:v>PACKING</x:v>
      </x:c>
      <x:c r="Q1211" t="str">
        <x:v>N</x:v>
      </x:c>
      <x:c r="R1211" t="str">
        <x:v>7.5</x:v>
      </x:c>
      <x:c r="S1211" t="str">
        <x:v>1748.62</x:v>
      </x:c>
      <x:c r="T1211" t="str">
        <x:v>LV-502 not ok after feed temp ramp</x:v>
      </x:c>
      <x:c r="U1211" t="str">
        <x:v>B shift called for LV-502 bottoms level valve, tray temp drift seen during feed temperature ramp. Foud stiction; stem sticky and pos err. History shows same complain last mnth. tightened fittings, leak test ok. readng close to dcs after job. notif made by ops, maint attended same shift.</x:v>
      </x:c>
    </x:row>
    <x:row r="1212" ht="15" hidden="0" customHeight="1">
      <x:c r="A1212" t="str">
        <x:v>10451211</x:v>
      </x:c>
      <x:c r="B1212" t="str">
        <x:v>40871211</x:v>
      </x:c>
      <x:c r="C1212" t="str">
        <x:v>2026-04-03</x:v>
      </x:c>
      <x:c r="D1212" t="str">
        <x:v>2026-04-05</x:v>
      </x:c>
      <x:c r="E1212" t="str">
        <x:v>2026-04-08</x:v>
      </x:c>
      <x:c r="F1212" t="str">
        <x:v>U400-DEETHANIZER-500</x:v>
      </x:c>
      <x:c r="G1212" t="str">
        <x:v>P-501A</x:v>
      </x:c>
      <x:c r="H1212" t="str">
        <x:v>reflux pump A</x:v>
      </x:c>
      <x:c r="I1212" t="str">
        <x:v>pump</x:v>
      </x:c>
      <x:c r="J1212" t="str">
        <x:v>P2</x:v>
      </x:c>
      <x:c r="K1212" t="str">
        <x:v>COMP</x:v>
      </x:c>
      <x:c r="L1212" t="str">
        <x:v>OPS+MECH</x:v>
      </x:c>
      <x:c r="M1212" t="str">
        <x:v>reflux_pump_degradation</x:v>
      </x:c>
      <x:c r="N1212" t="str">
        <x:v>seal leak</x:v>
      </x:c>
      <x:c r="O1212" t="str">
        <x:v>MECH_SEAL</x:v>
      </x:c>
      <x:c r="P1212" t="str">
        <x:v>SEAL</x:v>
      </x:c>
      <x:c r="Q1212" t="str">
        <x:v>N</x:v>
      </x:c>
      <x:c r="R1212" t="str">
        <x:v>14.5</x:v>
      </x:c>
      <x:c r="S1212" t="str">
        <x:v>1241.62</x:v>
      </x:c>
      <x:c r="T1212" t="str">
        <x:v>P-501A min flow hot, seal leak</x:v>
      </x:c>
      <x:c r="U1212" t="str">
        <x:v>B shift called for P-501A reflux pump A, low reflux seen during reflux pump degradation. Foud seal leak; seal face worn / dry run signs. opened strainer, cleaned black sludge. ops says ok for now. notif made by ops, maint attended same shift.</x:v>
      </x:c>
    </x:row>
    <x:row r="1213" ht="15" hidden="0" customHeight="1">
      <x:c r="A1213" t="str">
        <x:v>10451212</x:v>
      </x:c>
      <x:c r="B1213" t="str">
        <x:v>40871212</x:v>
      </x:c>
      <x:c r="C1213" t="str">
        <x:v>2026-04-08</x:v>
      </x:c>
      <x:c r="D1213" t="str">
        <x:v>2026-04-08</x:v>
      </x:c>
      <x:c r="E1213" t="str">
        <x:v>2026-04-08</x:v>
      </x:c>
      <x:c r="F1213" t="str">
        <x:v>U400-DEETHANIZER-500</x:v>
      </x:c>
      <x:c r="G1213" t="str">
        <x:v>FV-501</x:v>
      </x:c>
      <x:c r="H1213" t="str">
        <x:v>feed flow control valve</x:v>
      </x:c>
      <x:c r="I1213" t="str">
        <x:v>control_valve</x:v>
      </x:c>
      <x:c r="J1213" t="str">
        <x:v>P3</x:v>
      </x:c>
      <x:c r="K1213" t="str">
        <x:v>COMP</x:v>
      </x:c>
      <x:c r="L1213" t="str">
        <x:v>OPS+MECH</x:v>
      </x:c>
      <x:c r="M1213" t="str">
        <x:v>feed_temperature_ramp</x:v>
      </x:c>
      <x:c r="N1213" t="str">
        <x:v>stiction</x:v>
      </x:c>
      <x:c r="O1213" t="str">
        <x:v>STICK</x:v>
      </x:c>
      <x:c r="P1213" t="str">
        <x:v>PACKING</x:v>
      </x:c>
      <x:c r="Q1213" t="str">
        <x:v>N</x:v>
      </x:c>
      <x:c r="R1213" t="str">
        <x:v>17.1</x:v>
      </x:c>
      <x:c r="S1213" t="str">
        <x:v>1480.57</x:v>
      </x:c>
      <x:c r="T1213" t="str">
        <x:v>FV-501 stiction asap</x:v>
      </x:c>
      <x:c r="U1213" t="str">
        <x:v>A shift called for FV-501 feed flow control vavle, feed temp high seen during feed temperature ramp. Foud stiction; stem sticky and pos err. Could not get permit first time waiting area gas test. cleaned and put back online. ops says ok for now. notif made by ops, maint attended same shift.</x:v>
      </x:c>
    </x:row>
    <x:row r="1214" ht="15" hidden="0" customHeight="1">
      <x:c r="A1214" t="str">
        <x:v>10451213</x:v>
      </x:c>
      <x:c r="B1214" t="str">
        <x:v>40871213</x:v>
      </x:c>
      <x:c r="C1214" t="str">
        <x:v>2026-04-06</x:v>
      </x:c>
      <x:c r="D1214" t="str">
        <x:v>2026-04-07</x:v>
      </x:c>
      <x:c r="E1214" t="str">
        <x:v>2026-04-12</x:v>
      </x:c>
      <x:c r="F1214" t="str">
        <x:v>U400-DEETHANIZER-500</x:v>
      </x:c>
      <x:c r="G1214" t="str">
        <x:v>P-501A</x:v>
      </x:c>
      <x:c r="H1214" t="str">
        <x:v>reflux pump A</x:v>
      </x:c>
      <x:c r="I1214" t="str">
        <x:v>pump</x:v>
      </x:c>
      <x:c r="J1214" t="str">
        <x:v>P2</x:v>
      </x:c>
      <x:c r="K1214" t="str">
        <x:v>TECO</x:v>
      </x:c>
      <x:c r="L1214" t="str">
        <x:v>VALVE</x:v>
      </x:c>
      <x:c r="M1214" t="str">
        <x:v>reflux_pump_degradation</x:v>
      </x:c>
      <x:c r="N1214" t="str">
        <x:v>motor trip</x:v>
      </x:c>
      <x:c r="O1214" t="str">
        <x:v>MOTOR</x:v>
      </x:c>
      <x:c r="P1214" t="str">
        <x:v>ELEC</x:v>
      </x:c>
      <x:c r="Q1214" t="str">
        <x:v>N</x:v>
      </x:c>
      <x:c r="R1214" t="str">
        <x:v>8.1</x:v>
      </x:c>
      <x:c r="S1214" t="str">
        <x:v>4409.51</x:v>
      </x:c>
      <x:c r="T1214" t="str">
        <x:v>P-501A pump vib, motor trip</x:v>
      </x:c>
      <x:c r="U1214" t="str">
        <x:v>days called for P-501A reflux pump A, low reflux seen during reflux pump degradation. Foud motor trip; overload trip after upset. swapped to standby and repaired. temp repair only, plan shutdown job. notif made by ops, maint attended same shift.</x:v>
      </x:c>
    </x:row>
    <x:row r="1215" ht="15" hidden="0" customHeight="1">
      <x:c r="A1215" t="str">
        <x:v>10451214</x:v>
      </x:c>
      <x:c r="B1215" t="str">
        <x:v>40871214</x:v>
      </x:c>
      <x:c r="C1215" t="str">
        <x:v>2026-04-07</x:v>
      </x:c>
      <x:c r="D1215" t="str">
        <x:v>2026-04-07</x:v>
      </x:c>
      <x:c r="E1215" t="str">
        <x:v>2026-04-08</x:v>
      </x:c>
      <x:c r="F1215" t="str">
        <x:v>U400-DEETHANIZER-500</x:v>
      </x:c>
      <x:c r="G1215" t="str">
        <x:v>FT-501</x:v>
      </x:c>
      <x:c r="H1215" t="str">
        <x:v>feed flow transmitter</x:v>
      </x:c>
      <x:c r="I1215" t="str">
        <x:v>instrument</x:v>
      </x:c>
      <x:c r="J1215" t="str">
        <x:v>P2</x:v>
      </x:c>
      <x:c r="K1215" t="str">
        <x:v>CLSD</x:v>
      </x:c>
      <x:c r="L1215" t="str">
        <x:v>E&amp;I</x:v>
      </x:c>
      <x:c r="M1215" t="str">
        <x:v>feed_flow_step</x:v>
      </x:c>
      <x:c r="N1215" t="str">
        <x:v>range err</x:v>
      </x:c>
      <x:c r="O1215" t="str">
        <x:v>SPAN</x:v>
      </x:c>
      <x:c r="P1215" t="str">
        <x:v>CAL</x:v>
      </x:c>
      <x:c r="Q1215" t="str">
        <x:v>N</x:v>
      </x:c>
      <x:c r="R1215" t="str">
        <x:v>13.7</x:v>
      </x:c>
      <x:c r="S1215" t="str">
        <x:v>6057.54</x:v>
      </x:c>
      <x:c r="T1215" t="str">
        <x:v>chk FT-501 - range err frm ops</x:v>
      </x:c>
      <x:c r="U1215" t="str">
        <x:v>A shift called for FT-501 feed flow transmitter, fic hunting seen during feed flow step. Foud range err; span shifted. Could not get permit first time waiting area gas test. calibrated, loop checked with CCR. readng close to dcs after job. notif made by ops, maint attended same shift.</x:v>
      </x:c>
    </x:row>
    <x:row r="1216" ht="15" hidden="0" customHeight="1">
      <x:c r="A1216" t="str">
        <x:v>10451215</x:v>
      </x:c>
      <x:c r="B1216" t="str">
        <x:v>40871215</x:v>
      </x:c>
      <x:c r="C1216" t="str">
        <x:v>2026-04-08</x:v>
      </x:c>
      <x:c r="D1216" t="str">
        <x:v>2026-04-09</x:v>
      </x:c>
      <x:c r="E1216" t="str">
        <x:v>2026-04-09</x:v>
      </x:c>
      <x:c r="F1216" t="str">
        <x:v>U400-DEETHANIZER-500</x:v>
      </x:c>
      <x:c r="G1216" t="str">
        <x:v>FT-501</x:v>
      </x:c>
      <x:c r="H1216" t="str">
        <x:v>feed flow transmitter</x:v>
      </x:c>
      <x:c r="I1216" t="str">
        <x:v>instrument</x:v>
      </x:c>
      <x:c r="J1216" t="str">
        <x:v>P3</x:v>
      </x:c>
      <x:c r="K1216" t="str">
        <x:v>COMP</x:v>
      </x:c>
      <x:c r="L1216" t="str">
        <x:v>INST</x:v>
      </x:c>
      <x:c r="M1216" t="str">
        <x:v>reboiler_duty_loss</x:v>
      </x:c>
      <x:c r="N1216" t="str">
        <x:v>range err</x:v>
      </x:c>
      <x:c r="O1216" t="str">
        <x:v>SPAN</x:v>
      </x:c>
      <x:c r="P1216" t="str">
        <x:v>CAL</x:v>
      </x:c>
      <x:c r="Q1216" t="str">
        <x:v>N</x:v>
      </x:c>
      <x:c r="R1216" t="str">
        <x:v>13.6</x:v>
      </x:c>
      <x:c r="S1216" t="str">
        <x:v>1813.6</x:v>
      </x:c>
      <x:c r="T1216" t="str">
        <x:v>FT-501 range err pls chk</x:v>
      </x:c>
      <x:c r="U1216" t="str">
        <x:v>C shift called for FT-501 feed flow transmitter, steam/hm vavle no resp seen during reboiler duty loss. Foud range err; span shifted. cleaned and put back online. no leak at handover. notif made by ops, maint attended same shift.</x:v>
      </x:c>
    </x:row>
    <x:row r="1217" ht="15" hidden="0" customHeight="1">
      <x:c r="A1217" t="str">
        <x:v>10451216</x:v>
      </x:c>
      <x:c r="B1217" t="str">
        <x:v>40871216</x:v>
      </x:c>
      <x:c r="C1217" t="str">
        <x:v>2026-04-09</x:v>
      </x:c>
      <x:c r="D1217" t="str">
        <x:v>2026-04-10</x:v>
      </x:c>
      <x:c r="E1217" t="str">
        <x:v>2026-04-10</x:v>
      </x:c>
      <x:c r="F1217" t="str">
        <x:v>U400-DEETHANIZER-500</x:v>
      </x:c>
      <x:c r="G1217" t="str">
        <x:v>LV-502</x:v>
      </x:c>
      <x:c r="H1217" t="str">
        <x:v>bottoms level valve</x:v>
      </x:c>
      <x:c r="I1217" t="str">
        <x:v>control_valve</x:v>
      </x:c>
      <x:c r="J1217" t="str">
        <x:v>P2</x:v>
      </x:c>
      <x:c r="K1217" t="str">
        <x:v>COMP</x:v>
      </x:c>
      <x:c r="L1217" t="str">
        <x:v>ANLYZR</x:v>
      </x:c>
      <x:c r="M1217" t="str">
        <x:v>valve_stiction</x:v>
      </x:c>
      <x:c r="N1217" t="str">
        <x:v>hunting loop</x:v>
      </x:c>
      <x:c r="O1217" t="str">
        <x:v>CTRL_OSC</x:v>
      </x:c>
      <x:c r="P1217" t="str">
        <x:v>TUNE</x:v>
      </x:c>
      <x:c r="Q1217" t="str">
        <x:v>N</x:v>
      </x:c>
      <x:c r="R1217" t="str">
        <x:v>17.6</x:v>
      </x:c>
      <x:c r="S1217" t="str">
        <x:v>6182.1</x:v>
      </x:c>
      <x:c r="T1217" t="str">
        <x:v>LV-502 air leak, hunting loop</x:v>
      </x:c>
      <x:c r="U1217" t="str">
        <x:v>C shift called for LV-502 bottoms level valve, position bad seen during valve stiction. Foud hunting loop; bad response after upset. flushed impulse/sample line. ops says ok for now. notif made by ops, maint attended same shift.</x:v>
      </x:c>
    </x:row>
    <x:row r="1218" ht="15" hidden="0" customHeight="1">
      <x:c r="A1218" t="str">
        <x:v>10451217</x:v>
      </x:c>
      <x:c r="B1218" t="str">
        <x:v>40871217</x:v>
      </x:c>
      <x:c r="C1218" t="str">
        <x:v>2026-04-12</x:v>
      </x:c>
      <x:c r="D1218" t="str">
        <x:v>2026-04-14</x:v>
      </x:c>
      <x:c r="E1218" t="str">
        <x:v>2026-04-19</x:v>
      </x:c>
      <x:c r="F1218" t="str">
        <x:v>U400-DEETHANIZER-500</x:v>
      </x:c>
      <x:c r="G1218" t="str">
        <x:v>TT-503</x:v>
      </x:c>
      <x:c r="H1218" t="str">
        <x:v>reboiler outlet temperature tx</x:v>
      </x:c>
      <x:c r="I1218" t="str">
        <x:v>instrument</x:v>
      </x:c>
      <x:c r="J1218" t="str">
        <x:v>P4</x:v>
      </x:c>
      <x:c r="K1218" t="str">
        <x:v>TECO</x:v>
      </x:c>
      <x:c r="L1218" t="str">
        <x:v>E&amp;I</x:v>
      </x:c>
      <x:c r="M1218" t="str">
        <x:v>pressure_control_fault</x:v>
      </x:c>
      <x:c r="N1218" t="str">
        <x:v>no signal</x:v>
      </x:c>
      <x:c r="O1218" t="str">
        <x:v>NO_SIGNAL</x:v>
      </x:c>
      <x:c r="P1218" t="str">
        <x:v>ELEC</x:v>
      </x:c>
      <x:c r="Q1218" t="str">
        <x:v>N</x:v>
      </x:c>
      <x:c r="R1218" t="str">
        <x:v>2.3</x:v>
      </x:c>
      <x:c r="S1218" t="str">
        <x:v>5227.95</x:v>
      </x:c>
      <x:c r="T1218" t="str">
        <x:v>TT-503 no signal after upset</x:v>
      </x:c>
      <x:c r="U1218" t="str">
        <x:v>A shift called for TT-503 reboiler outlet temperature tx, flare valve checked seen during pressure control fault. Foud no signal; 24v or card issue. reset trip and monitored for 2 hrs. need watch next feed swing. notif made by ops, maint attended same shift.</x:v>
      </x:c>
    </x:row>
    <x:row r="1219" ht="15" hidden="0" customHeight="1">
      <x:c r="A1219" t="str">
        <x:v>10451218</x:v>
      </x:c>
      <x:c r="B1219" t="str">
        <x:v>40871218</x:v>
      </x:c>
      <x:c r="C1219" t="str">
        <x:v>2026-04-14</x:v>
      </x:c>
      <x:c r="D1219" t="str">
        <x:v>2026-04-15</x:v>
      </x:c>
      <x:c r="E1219" t="str">
        <x:v>2026-04-15</x:v>
      </x:c>
      <x:c r="F1219" t="str">
        <x:v>U400-DEETHANIZER-500</x:v>
      </x:c>
      <x:c r="G1219" t="str">
        <x:v>FT-501</x:v>
      </x:c>
      <x:c r="H1219" t="str">
        <x:v>feed flow transmitter</x:v>
      </x:c>
      <x:c r="I1219" t="str">
        <x:v>instrument</x:v>
      </x:c>
      <x:c r="J1219" t="str">
        <x:v>P3</x:v>
      </x:c>
      <x:c r="K1219" t="str">
        <x:v>CLSD</x:v>
      </x:c>
      <x:c r="L1219" t="str">
        <x:v>E&amp;I</x:v>
      </x:c>
      <x:c r="M1219" t="str">
        <x:v>feed_flow_step</x:v>
      </x:c>
      <x:c r="N1219" t="str">
        <x:v>no signal</x:v>
      </x:c>
      <x:c r="O1219" t="str">
        <x:v>NO_SIGNAL</x:v>
      </x:c>
      <x:c r="P1219" t="str">
        <x:v>ELEC</x:v>
      </x:c>
      <x:c r="Q1219" t="str">
        <x:v>N</x:v>
      </x:c>
      <x:c r="R1219" t="str">
        <x:v>3.2</x:v>
      </x:c>
      <x:c r="S1219" t="str">
        <x:v>1159.69</x:v>
      </x:c>
      <x:c r="T1219" t="str">
        <x:v>FT-501 c2 recov down, no signal</x:v>
      </x:c>
      <x:c r="U1219" t="str">
        <x:v>A shift called for FT-501 feed flow transmitter, column dp high seen during feed flow step. Foud no signal; 24v or card issue. swapped to standby and repaired. readng close to dcs after job. notif made by ops, maint attended same shift.</x:v>
      </x:c>
    </x:row>
    <x:row r="1220" ht="15" hidden="0" customHeight="1">
      <x:c r="A1220" t="str">
        <x:v>10451219</x:v>
      </x:c>
      <x:c r="B1220" t="str">
        <x:v>40871219</x:v>
      </x:c>
      <x:c r="C1220" t="str">
        <x:v>2026-04-16</x:v>
      </x:c>
      <x:c r="D1220" t="str">
        <x:v>2026-04-18</x:v>
      </x:c>
      <x:c r="E1220" t="str">
        <x:v>2026-04-25</x:v>
      </x:c>
      <x:c r="F1220" t="str">
        <x:v>U400-DEETHANIZER-500</x:v>
      </x:c>
      <x:c r="G1220" t="str">
        <x:v>E-503</x:v>
      </x:c>
      <x:c r="H1220" t="str">
        <x:v>feed bottoms exchanger</x:v>
      </x:c>
      <x:c r="I1220" t="str">
        <x:v>exchanger</x:v>
      </x:c>
      <x:c r="J1220" t="str">
        <x:v>P3</x:v>
      </x:c>
      <x:c r="K1220" t="str">
        <x:v>TECO</x:v>
      </x:c>
      <x:c r="L1220" t="str">
        <x:v>ROT</x:v>
      </x:c>
      <x:c r="M1220" t="str">
        <x:v>reboiler_duty_loss</x:v>
      </x:c>
      <x:c r="N1220" t="str">
        <x:v>plugged pass</x:v>
      </x:c>
      <x:c r="O1220" t="str">
        <x:v>PLUG</x:v>
      </x:c>
      <x:c r="P1220" t="str">
        <x:v>FOUL</x:v>
      </x:c>
      <x:c r="Q1220" t="str">
        <x:v>N</x:v>
      </x:c>
      <x:c r="R1220" t="str">
        <x:v>15.7</x:v>
      </x:c>
      <x:c r="S1220" t="str">
        <x:v>153.34</x:v>
      </x:c>
      <x:c r="T1220" t="str">
        <x:v>E-503 steam/hm vavle no resp, plugged pass</x:v>
      </x:c>
      <x:c r="U1220" t="str">
        <x:v>night called for E-503 feed bottoms exchanger, tray temp low seen during reboiler duty loss. Foud plugged pass; flow restricted. Tag plate dirty, confirmd by line up with panel. stroke tested, response better. no leak at handover. notif made by ops, maint attended same shift.</x:v>
      </x:c>
    </x:row>
    <x:row r="1221" ht="15" hidden="0" customHeight="1">
      <x:c r="A1221" t="str">
        <x:v>10451220</x:v>
      </x:c>
      <x:c r="B1221" t="str">
        <x:v>40871220</x:v>
      </x:c>
      <x:c r="C1221" t="str">
        <x:v>2026-04-15</x:v>
      </x:c>
      <x:c r="D1221" t="str">
        <x:v>2026-04-15</x:v>
      </x:c>
      <x:c r="E1221" t="str">
        <x:v>2026-04-16</x:v>
      </x:c>
      <x:c r="F1221" t="str">
        <x:v>U400-DEETHANIZER-500</x:v>
      </x:c>
      <x:c r="G1221" t="str">
        <x:v>TT-501B</x:v>
      </x:c>
      <x:c r="H1221" t="str">
        <x:v>sensitive tray temperature tx</x:v>
      </x:c>
      <x:c r="I1221" t="str">
        <x:v>instrument</x:v>
      </x:c>
      <x:c r="J1221" t="str">
        <x:v>P3</x:v>
      </x:c>
      <x:c r="K1221" t="str">
        <x:v>COMP</x:v>
      </x:c>
      <x:c r="L1221" t="str">
        <x:v>E&amp;I</x:v>
      </x:c>
      <x:c r="M1221" t="str">
        <x:v>reboiler_duty_loss</x:v>
      </x:c>
      <x:c r="N1221" t="str">
        <x:v>impulse plugged</x:v>
      </x:c>
      <x:c r="O1221" t="str">
        <x:v>PLUG</x:v>
      </x:c>
      <x:c r="P1221" t="str">
        <x:v>PROCESS</x:v>
      </x:c>
      <x:c r="Q1221" t="str">
        <x:v>N</x:v>
      </x:c>
      <x:c r="R1221" t="str">
        <x:v>4.2</x:v>
      </x:c>
      <x:c r="S1221" t="str">
        <x:v>5619.43</x:v>
      </x:c>
      <x:c r="T1221" t="str">
        <x:v>TT-501B impulse plugged again, prod upset</x:v>
      </x:c>
      <x:c r="U1221" t="str">
        <x:v>C shift called for TT-501B sensitive tray temperature tx, steam/hm valve no resp seen during reboiler duty loss. Foud impulse plugged; tap/line dirty. History shows same complain last mnth. replaced positioner tubing and retuned small. need watch next feed swing. notif made by ops, maint attended same shift.</x:v>
      </x:c>
    </x:row>
    <x:row r="1222" ht="15" hidden="0" customHeight="1">
      <x:c r="A1222" t="str">
        <x:v>10451221</x:v>
      </x:c>
      <x:c r="B1222" t="str">
        <x:v>40871221</x:v>
      </x:c>
      <x:c r="C1222" t="str">
        <x:v>2026-04-18</x:v>
      </x:c>
      <x:c r="D1222" t="str">
        <x:v>2026-04-19</x:v>
      </x:c>
      <x:c r="E1222" t="str">
        <x:v>2026-04-21</x:v>
      </x:c>
      <x:c r="F1222" t="str">
        <x:v>U400-DEETHANIZER-500</x:v>
      </x:c>
      <x:c r="G1222" t="str">
        <x:v>E-503</x:v>
      </x:c>
      <x:c r="H1222" t="str">
        <x:v>feed bottoms exchanger</x:v>
      </x:c>
      <x:c r="I1222" t="str">
        <x:v>exchanger</x:v>
      </x:c>
      <x:c r="J1222" t="str">
        <x:v>P4</x:v>
      </x:c>
      <x:c r="K1222" t="str">
        <x:v>COMP</x:v>
      </x:c>
      <x:c r="L1222" t="str">
        <x:v>OPS+MECH</x:v>
      </x:c>
      <x:c r="M1222" t="str">
        <x:v>feed_flow_step</x:v>
      </x:c>
      <x:c r="N1222" t="str">
        <x:v>temp approach bad</x:v>
      </x:c>
      <x:c r="O1222" t="str">
        <x:v>PERF</x:v>
      </x:c>
      <x:c r="P1222" t="str">
        <x:v>FOUL</x:v>
      </x:c>
      <x:c r="Q1222" t="str">
        <x:v>N</x:v>
      </x:c>
      <x:c r="R1222" t="str">
        <x:v>6.6</x:v>
      </x:c>
      <x:c r="S1222" t="str">
        <x:v>8396.11</x:v>
      </x:c>
      <x:c r="T1222" t="str">
        <x:v>E-503 temp approach bad again, prod upset</x:v>
      </x:c>
      <x:c r="U1222" t="str">
        <x:v>C shift called for E-503 feed bottoms exchanger, fic hunting seen during feed flow step. Foud temp approach bad; heat transfer loss. Tag plate dirty, confirmd by line up with panel. swapped to standby and repaired. ops says ok for now. notif made by ops, maint attended same shift.</x:v>
      </x:c>
    </x:row>
    <x:row r="1223" ht="15" hidden="0" customHeight="1">
      <x:c r="A1223" t="str">
        <x:v>10451222</x:v>
      </x:c>
      <x:c r="B1223" t="str">
        <x:v>40871222</x:v>
      </x:c>
      <x:c r="C1223" t="str">
        <x:v>2026-04-18</x:v>
      </x:c>
      <x:c r="D1223" t="str">
        <x:v>2026-04-19</x:v>
      </x:c>
      <x:c r="E1223" t="str">
        <x:v>2026-04-19</x:v>
      </x:c>
      <x:c r="F1223" t="str">
        <x:v>U400-DEETHANIZER-500</x:v>
      </x:c>
      <x:c r="G1223" t="str">
        <x:v>TT-503</x:v>
      </x:c>
      <x:c r="H1223" t="str">
        <x:v>reboiler outlet temperature tx</x:v>
      </x:c>
      <x:c r="I1223" t="str">
        <x:v>instrument</x:v>
      </x:c>
      <x:c r="J1223" t="str">
        <x:v>P4</x:v>
      </x:c>
      <x:c r="K1223" t="str">
        <x:v>CLSD</x:v>
      </x:c>
      <x:c r="L1223" t="str">
        <x:v>OPS+INST</x:v>
      </x:c>
      <x:c r="M1223" t="str">
        <x:v>reboiler_duty_loss</x:v>
      </x:c>
      <x:c r="N1223" t="str">
        <x:v>loose wire</x:v>
      </x:c>
      <x:c r="O1223" t="str">
        <x:v>SIGNAL</x:v>
      </x:c>
      <x:c r="P1223" t="str">
        <x:v>ELEC</x:v>
      </x:c>
      <x:c r="Q1223" t="str">
        <x:v>N</x:v>
      </x:c>
      <x:c r="R1223" t="str">
        <x:v>10.2</x:v>
      </x:c>
      <x:c r="S1223" t="str">
        <x:v>5144.87</x:v>
      </x:c>
      <x:c r="T1223" t="str">
        <x:v>TT-503 loose wire again, prod upset</x:v>
      </x:c>
      <x:c r="U1223" t="str">
        <x:v>C shift called for TT-503 reboiler outlet temperature tx, steam/hm valve no resp seen during reboiler duty loss. Foud loose wire; term loose. tightened fittings, leak test ok. unit stable now. notif made by ops, maint attended same shift.</x:v>
      </x:c>
    </x:row>
    <x:row r="1224" ht="15" hidden="0" customHeight="1">
      <x:c r="A1224" t="str">
        <x:v>10451223</x:v>
      </x:c>
      <x:c r="B1224" t="str">
        <x:v>40871223</x:v>
      </x:c>
      <x:c r="C1224" t="str">
        <x:v>2026-04-23</x:v>
      </x:c>
      <x:c r="D1224" t="str">
        <x:v>2026-04-24</x:v>
      </x:c>
      <x:c r="E1224" t="str">
        <x:v>2026-04-25</x:v>
      </x:c>
      <x:c r="F1224" t="str">
        <x:v>U400-DEETHANIZER-500</x:v>
      </x:c>
      <x:c r="G1224" t="str">
        <x:v>PV-501</x:v>
      </x:c>
      <x:c r="H1224" t="str">
        <x:v>column pressure control valve</x:v>
      </x:c>
      <x:c r="I1224" t="str">
        <x:v>control_valve</x:v>
      </x:c>
      <x:c r="J1224" t="str">
        <x:v>P3</x:v>
      </x:c>
      <x:c r="K1224" t="str">
        <x:v>TECO</x:v>
      </x:c>
      <x:c r="L1224" t="str">
        <x:v>MECH</x:v>
      </x:c>
      <x:c r="M1224" t="str">
        <x:v>condenser_fouling</x:v>
      </x:c>
      <x:c r="N1224" t="str">
        <x:v>stiction</x:v>
      </x:c>
      <x:c r="O1224" t="str">
        <x:v>STICK</x:v>
      </x:c>
      <x:c r="P1224" t="str">
        <x:v>PACKING</x:v>
      </x:c>
      <x:c r="Q1224" t="str">
        <x:v>N</x:v>
      </x:c>
      <x:c r="R1224" t="str">
        <x:v>14.3</x:v>
      </x:c>
      <x:c r="S1224" t="str">
        <x:v>4449.14</x:v>
      </x:c>
      <x:c r="T1224" t="str">
        <x:v>PV-501 stiction again, prod upset</x:v>
      </x:c>
      <x:c r="U1224" t="str">
        <x:v>A shift called for PV-501 column pressure control vavle, drum temp hi seen during condnsr fouling. Foud stiction; stem sticky and pos err. Could not get permit first time waiting area gas test. swapped to standby and repaired. still little hunting but acceptable. notif made by ops, maint attended same shift.</x:v>
      </x:c>
    </x:row>
    <x:row r="1225" ht="15" hidden="0" customHeight="1">
      <x:c r="A1225" t="str">
        <x:v>10451224</x:v>
      </x:c>
      <x:c r="B1225" t="str">
        <x:v>40871224</x:v>
      </x:c>
      <x:c r="C1225" t="str">
        <x:v>2026-04-25</x:v>
      </x:c>
      <x:c r="D1225" t="str">
        <x:v>2026-04-25</x:v>
      </x:c>
      <x:c r="E1225" t="str">
        <x:v>2026-04-28</x:v>
      </x:c>
      <x:c r="F1225" t="str">
        <x:v>U400-DEETHANIZER-500</x:v>
      </x:c>
      <x:c r="G1225" t="str">
        <x:v>TV-501</x:v>
      </x:c>
      <x:c r="H1225" t="str">
        <x:v>reboiler hot medium valve</x:v>
      </x:c>
      <x:c r="I1225" t="str">
        <x:v>control_valve</x:v>
      </x:c>
      <x:c r="J1225" t="str">
        <x:v>P3</x:v>
      </x:c>
      <x:c r="K1225" t="str">
        <x:v>CLSD</x:v>
      </x:c>
      <x:c r="L1225" t="str">
        <x:v>MECH</x:v>
      </x:c>
      <x:c r="M1225" t="str">
        <x:v>valve_stiction</x:v>
      </x:c>
      <x:c r="N1225" t="str">
        <x:v>hunting loop</x:v>
      </x:c>
      <x:c r="O1225" t="str">
        <x:v>CTRL_OSC</x:v>
      </x:c>
      <x:c r="P1225" t="str">
        <x:v>TUNE</x:v>
      </x:c>
      <x:c r="Q1225" t="str">
        <x:v>N</x:v>
      </x:c>
      <x:c r="R1225" t="str">
        <x:v>11.0</x:v>
      </x:c>
      <x:c r="S1225" t="str">
        <x:v>1502.19</x:v>
      </x:c>
      <x:c r="T1225" t="str">
        <x:v>TV-501 hunting loop again, prod upset</x:v>
      </x:c>
      <x:c r="U1225" t="str">
        <x:v>days called for TV-501 rebiler hot medium valve, loop cycling seen during valve stiction. Foud hunting loop; bad response after upset. Line was hot so job done slow and with ops standing by. cleaned and put back online. unit stable now. notif made by ops, maint attended same shift.</x:v>
      </x:c>
    </x:row>
    <x:row r="1226" ht="15" hidden="0" customHeight="1">
      <x:c r="A1226" t="str">
        <x:v>10451225</x:v>
      </x:c>
      <x:c r="B1226" t="str">
        <x:v>40871225</x:v>
      </x:c>
      <x:c r="C1226" t="str">
        <x:v>2026-04-23</x:v>
      </x:c>
      <x:c r="D1226" t="str">
        <x:v>2026-04-24</x:v>
      </x:c>
      <x:c r="E1226" t="str">
        <x:v>2026-04-25</x:v>
      </x:c>
      <x:c r="F1226" t="str">
        <x:v>U400-DEETHANIZER-500</x:v>
      </x:c>
      <x:c r="G1226" t="str">
        <x:v>LV-501</x:v>
      </x:c>
      <x:c r="H1226" t="str">
        <x:v>reflux drum level valve</x:v>
      </x:c>
      <x:c r="I1226" t="str">
        <x:v>control_valve</x:v>
      </x:c>
      <x:c r="J1226" t="str">
        <x:v>P3</x:v>
      </x:c>
      <x:c r="K1226" t="str">
        <x:v>CLSD</x:v>
      </x:c>
      <x:c r="L1226" t="str">
        <x:v>E&amp;I</x:v>
      </x:c>
      <x:c r="M1226" t="str">
        <x:v>valve_stiction</x:v>
      </x:c>
      <x:c r="N1226" t="str">
        <x:v>hunting loop</x:v>
      </x:c>
      <x:c r="O1226" t="str">
        <x:v>CTRL_OSC</x:v>
      </x:c>
      <x:c r="P1226" t="str">
        <x:v>TUNE</x:v>
      </x:c>
      <x:c r="Q1226" t="str">
        <x:v>N</x:v>
      </x:c>
      <x:c r="R1226" t="str">
        <x:v>9.9</x:v>
      </x:c>
      <x:c r="S1226" t="str">
        <x:v>364.88</x:v>
      </x:c>
      <x:c r="T1226" t="str">
        <x:v>LV-501 op jumps, hunting loop</x:v>
      </x:c>
      <x:c r="U1226" t="str">
        <x:v>C shift called for LV-501 reflux drum level valve, air leak seen during valve stiction. Foud hunting loop; bad response after upset. History shows same complain last mnth. cleaned and put back online. need watch next feed swing. notif made by ops, maint attended same shift.</x:v>
      </x:c>
    </x:row>
    <x:row r="1227" ht="15" hidden="0" customHeight="1">
      <x:c r="A1227" t="str">
        <x:v>10451226</x:v>
      </x:c>
      <x:c r="B1227" t="str">
        <x:v>40871226</x:v>
      </x:c>
      <x:c r="C1227" t="str">
        <x:v>2026-04-26</x:v>
      </x:c>
      <x:c r="D1227" t="str">
        <x:v>2026-04-28</x:v>
      </x:c>
      <x:c r="E1227" t="str">
        <x:v>2026-04-29</x:v>
      </x:c>
      <x:c r="F1227" t="str">
        <x:v>U400-DEETHANIZER-500</x:v>
      </x:c>
      <x:c r="G1227" t="str">
        <x:v>FV-501</x:v>
      </x:c>
      <x:c r="H1227" t="str">
        <x:v>feed flow control valve</x:v>
      </x:c>
      <x:c r="I1227" t="str">
        <x:v>control_valve</x:v>
      </x:c>
      <x:c r="J1227" t="str">
        <x:v>P1</x:v>
      </x:c>
      <x:c r="K1227" t="str">
        <x:v>COMP</x:v>
      </x:c>
      <x:c r="L1227" t="str">
        <x:v>ANLYZR</x:v>
      </x:c>
      <x:c r="M1227" t="str">
        <x:v>valve_stiction</x:v>
      </x:c>
      <x:c r="N1227" t="str">
        <x:v>not stroking</x:v>
      </x:c>
      <x:c r="O1227" t="str">
        <x:v>NO_TRAVEL</x:v>
      </x:c>
      <x:c r="P1227" t="str">
        <x:v>ACT</x:v>
      </x:c>
      <x:c r="Q1227" t="str">
        <x:v>Y</x:v>
      </x:c>
      <x:c r="R1227" t="str">
        <x:v>23.1</x:v>
      </x:c>
      <x:c r="S1227" t="str">
        <x:v>2731.38</x:v>
      </x:c>
      <x:c r="T1227" t="str">
        <x:v>chk FV-501 - not stroking frm ops</x:v>
      </x:c>
      <x:c r="U1227" t="str">
        <x:v>night called for FV-501 feed flow control vavle, op jumps seen during vavle stiction. Foud not stroking; actuator weak. Line was hot so job done slow and with ops standing by. opened strainer, cleaned black sludge. no leak at handover. notif made by ops, maint attended same shift.</x:v>
      </x:c>
    </x:row>
    <x:row r="1228" ht="15" hidden="0" customHeight="1">
      <x:c r="A1228" t="str">
        <x:v>10451227</x:v>
      </x:c>
      <x:c r="B1228" t="str">
        <x:v>40871227</x:v>
      </x:c>
      <x:c r="C1228" t="str">
        <x:v>2026-04-28</x:v>
      </x:c>
      <x:c r="D1228" t="str">
        <x:v>2026-04-28</x:v>
      </x:c>
      <x:c r="E1228" t="str">
        <x:v>2026-04-30</x:v>
      </x:c>
      <x:c r="F1228" t="str">
        <x:v>U400-DEETHANIZER-500</x:v>
      </x:c>
      <x:c r="G1228" t="str">
        <x:v>FV-501</x:v>
      </x:c>
      <x:c r="H1228" t="str">
        <x:v>feed flow control valve</x:v>
      </x:c>
      <x:c r="I1228" t="str">
        <x:v>control_valve</x:v>
      </x:c>
      <x:c r="J1228" t="str">
        <x:v>P2</x:v>
      </x:c>
      <x:c r="K1228" t="str">
        <x:v>TECO</x:v>
      </x:c>
      <x:c r="L1228" t="str">
        <x:v>OPS+INST</x:v>
      </x:c>
      <x:c r="M1228" t="str">
        <x:v>valve_stiction</x:v>
      </x:c>
      <x:c r="N1228" t="str">
        <x:v>passing</x:v>
      </x:c>
      <x:c r="O1228" t="str">
        <x:v>LEAK_BY</x:v>
      </x:c>
      <x:c r="P1228" t="str">
        <x:v>SEAT</x:v>
      </x:c>
      <x:c r="Q1228" t="str">
        <x:v>Y</x:v>
      </x:c>
      <x:c r="R1228" t="str">
        <x:v>14.2</x:v>
      </x:c>
      <x:c r="S1228" t="str">
        <x:v>4479.56</x:v>
      </x:c>
      <x:c r="T1228" t="str">
        <x:v>FV-501 passing bad</x:v>
      </x:c>
      <x:c r="U1228" t="str">
        <x:v>A shift called for FV-501 feed flow control valve, position bad seen during valve stiction. Foud passing; seat leak by. replaced positioner tubing and retuned small. need watch next feed swing. notif made by ops, maint attended same shift.</x:v>
      </x:c>
    </x:row>
    <x:row r="1229" ht="15" hidden="0" customHeight="1">
      <x:c r="A1229" t="str">
        <x:v>10451228</x:v>
      </x:c>
      <x:c r="B1229" t="str">
        <x:v>40871228</x:v>
      </x:c>
      <x:c r="C1229" t="str">
        <x:v>2026-04-29</x:v>
      </x:c>
      <x:c r="D1229" t="str">
        <x:v>2026-05-01</x:v>
      </x:c>
      <x:c r="E1229" t="str">
        <x:v>2026-05-01</x:v>
      </x:c>
      <x:c r="F1229" t="str">
        <x:v>U400-DEETHANIZER-500</x:v>
      </x:c>
      <x:c r="G1229" t="str">
        <x:v>PSV-502</x:v>
      </x:c>
      <x:c r="H1229" t="str">
        <x:v>reflux drum relief valve</x:v>
      </x:c>
      <x:c r="I1229" t="str">
        <x:v>relief</x:v>
      </x:c>
      <x:c r="J1229" t="str">
        <x:v>P3</x:v>
      </x:c>
      <x:c r="K1229" t="str">
        <x:v>CLSD</x:v>
      </x:c>
      <x:c r="L1229" t="str">
        <x:v>ROT</x:v>
      </x:c>
      <x:c r="M1229" t="str">
        <x:v>normal_wear</x:v>
      </x:c>
      <x:c r="N1229" t="str">
        <x:v>seat passing</x:v>
      </x:c>
      <x:c r="O1229" t="str">
        <x:v>LEAK_BY</x:v>
      </x:c>
      <x:c r="P1229" t="str">
        <x:v>SEAT</x:v>
      </x:c>
      <x:c r="Q1229" t="str">
        <x:v>N</x:v>
      </x:c>
      <x:c r="R1229" t="str">
        <x:v>13.8</x:v>
      </x:c>
      <x:c r="S1229" t="str">
        <x:v>23.72</x:v>
      </x:c>
      <x:c r="T1229" t="str">
        <x:v>PSV-502 seat passing chk &amp; revert</x:v>
      </x:c>
      <x:c r="U1229" t="str">
        <x:v>days called for PSV-502 reflux drum relief valve, plugged impulse seen during normal wear. Foud seat passing; tail pipe warm. calibrated, loop checked with CCR. ops says ok for now. notif made by ops, maint attended same shift.</x:v>
      </x:c>
    </x:row>
    <x:row r="1230" ht="15" hidden="0" customHeight="1">
      <x:c r="A1230" t="str">
        <x:v>10451229</x:v>
      </x:c>
      <x:c r="B1230" t="str">
        <x:v>40871229</x:v>
      </x:c>
      <x:c r="C1230" t="str">
        <x:v>2026-04-30</x:v>
      </x:c>
      <x:c r="D1230" t="str">
        <x:v>2026-04-30</x:v>
      </x:c>
      <x:c r="E1230" t="str">
        <x:v>2026-05-02</x:v>
      </x:c>
      <x:c r="F1230" t="str">
        <x:v>U400-DEETHANIZER-500</x:v>
      </x:c>
      <x:c r="G1230" t="str">
        <x:v>E-501</x:v>
      </x:c>
      <x:c r="H1230" t="str">
        <x:v>deethanizer reboiler</x:v>
      </x:c>
      <x:c r="I1230" t="str">
        <x:v>reboiler</x:v>
      </x:c>
      <x:c r="J1230" t="str">
        <x:v>P3</x:v>
      </x:c>
      <x:c r="K1230" t="str">
        <x:v>CLSD</x:v>
      </x:c>
      <x:c r="L1230" t="str">
        <x:v>ROT</x:v>
      </x:c>
      <x:c r="M1230" t="str">
        <x:v>feed_composition_shift</x:v>
      </x:c>
      <x:c r="N1230" t="str">
        <x:v>circ poor</x:v>
      </x:c>
      <x:c r="O1230" t="str">
        <x:v>NO_FLOW</x:v>
      </x:c>
      <x:c r="P1230" t="str">
        <x:v>PLUG</x:v>
      </x:c>
      <x:c r="Q1230" t="str">
        <x:v>N</x:v>
      </x:c>
      <x:c r="R1230" t="str">
        <x:v>10.6</x:v>
      </x:c>
      <x:c r="S1230" t="str">
        <x:v>16638.62</x:v>
      </x:c>
      <x:c r="T1230" t="str">
        <x:v>E-501 c3 in feed hi, circ poor</x:v>
      </x:c>
      <x:c r="U1230" t="str">
        <x:v>A shift called for E-501 deethanizer reboiler, anlyzr off seen during feed composition shift. Foud circ poor; blocked inlet screen. flushed impulse/sample line. no leak at handover. notif made by ops, maint attended same shift.</x:v>
      </x:c>
    </x:row>
    <x:row r="1231" ht="15" hidden="0" customHeight="1">
      <x:c r="A1231" t="str">
        <x:v>10451230</x:v>
      </x:c>
      <x:c r="B1231" t="str">
        <x:v>40871230</x:v>
      </x:c>
      <x:c r="C1231" t="str">
        <x:v>2026-05-04</x:v>
      </x:c>
      <x:c r="D1231" t="str">
        <x:v>2026-05-04</x:v>
      </x:c>
      <x:c r="E1231" t="str">
        <x:v>2026-05-07</x:v>
      </x:c>
      <x:c r="F1231" t="str">
        <x:v>U400-DEETHANIZER-500</x:v>
      </x:c>
      <x:c r="G1231" t="str">
        <x:v>E-501</x:v>
      </x:c>
      <x:c r="H1231" t="str">
        <x:v>deethanizer reboiler</x:v>
      </x:c>
      <x:c r="I1231" t="str">
        <x:v>reboiler</x:v>
      </x:c>
      <x:c r="J1231" t="str">
        <x:v>P4</x:v>
      </x:c>
      <x:c r="K1231" t="str">
        <x:v>CLSD</x:v>
      </x:c>
      <x:c r="L1231" t="str">
        <x:v>ANLYZR</x:v>
      </x:c>
      <x:c r="M1231" t="str">
        <x:v>valve_stiction</x:v>
      </x:c>
      <x:c r="N1231" t="str">
        <x:v>fouled bundle</x:v>
      </x:c>
      <x:c r="O1231" t="str">
        <x:v>FOULING</x:v>
      </x:c>
      <x:c r="P1231" t="str">
        <x:v>PROCESS</x:v>
      </x:c>
      <x:c r="Q1231" t="str">
        <x:v>N</x:v>
      </x:c>
      <x:c r="R1231" t="str">
        <x:v>6.7</x:v>
      </x:c>
      <x:c r="S1231" t="str">
        <x:v>6609.5</x:v>
      </x:c>
      <x:c r="T1231" t="str">
        <x:v>E-501 position bad, fouled bundle</x:v>
      </x:c>
      <x:c r="U1231" t="str">
        <x:v>days called for E-501 deethanizer reboiler, loop cycling seen during valve stiction. Foud fouled bundle; bottoms side dirty. stroke tested, response better. readng close to dcs after job. notif made by ops, maint attended same shift.</x:v>
      </x:c>
    </x:row>
    <x:row r="1232" ht="15" hidden="0" customHeight="1">
      <x:c r="A1232" t="str">
        <x:v>10451231</x:v>
      </x:c>
      <x:c r="B1232" t="str">
        <x:v>40871231</x:v>
      </x:c>
      <x:c r="C1232" t="str">
        <x:v>2026-05-06</x:v>
      </x:c>
      <x:c r="D1232" t="str">
        <x:v>2026-05-08</x:v>
      </x:c>
      <x:c r="E1232" t="str">
        <x:v>2026-05-08</x:v>
      </x:c>
      <x:c r="F1232" t="str">
        <x:v>U400-DEETHANIZER-500</x:v>
      </x:c>
      <x:c r="G1232" t="str">
        <x:v>E-503</x:v>
      </x:c>
      <x:c r="H1232" t="str">
        <x:v>feed bottoms exchanger</x:v>
      </x:c>
      <x:c r="I1232" t="str">
        <x:v>exchanger</x:v>
      </x:c>
      <x:c r="J1232" t="str">
        <x:v>P3</x:v>
      </x:c>
      <x:c r="K1232" t="str">
        <x:v>CLSD</x:v>
      </x:c>
      <x:c r="L1232" t="str">
        <x:v>ANLYZR</x:v>
      </x:c>
      <x:c r="M1232" t="str">
        <x:v>feed_temperature_ramp</x:v>
      </x:c>
      <x:c r="N1232" t="str">
        <x:v>tube fouling</x:v>
      </x:c>
      <x:c r="O1232" t="str">
        <x:v>FOULING</x:v>
      </x:c>
      <x:c r="P1232" t="str">
        <x:v>PROCESS</x:v>
      </x:c>
      <x:c r="Q1232" t="str">
        <x:v>N</x:v>
      </x:c>
      <x:c r="R1232" t="str">
        <x:v>17.9</x:v>
      </x:c>
      <x:c r="S1232" t="str">
        <x:v>12670.93</x:v>
      </x:c>
      <x:c r="T1232" t="str">
        <x:v>E-503 tube fouling noisy</x:v>
      </x:c>
      <x:c r="U1232" t="str">
        <x:v>days called for E-503 feed bottoms exchanger, ovhd press moving seen during feed temperature ramp. Foud tube fouling; duty low, delta t poor. replaced positioner tubing and retuned small. readng close to dcs after job. notif made by ops, maint attended same shift.</x:v>
      </x:c>
    </x:row>
    <x:row r="1233" ht="15" hidden="0" customHeight="1">
      <x:c r="A1233" t="str">
        <x:v>10451232</x:v>
      </x:c>
      <x:c r="B1233" t="str">
        <x:v>40871232</x:v>
      </x:c>
      <x:c r="C1233" t="str">
        <x:v>2026-05-04</x:v>
      </x:c>
      <x:c r="D1233" t="str">
        <x:v>2026-05-04</x:v>
      </x:c>
      <x:c r="E1233" t="str">
        <x:v>2026-05-04</x:v>
      </x:c>
      <x:c r="F1233" t="str">
        <x:v>U400-DEETHANIZER-500</x:v>
      </x:c>
      <x:c r="G1233" t="str">
        <x:v>E-502</x:v>
      </x:c>
      <x:c r="H1233" t="str">
        <x:v>deethanizer overhead condenser</x:v>
      </x:c>
      <x:c r="I1233" t="str">
        <x:v>condenser</x:v>
      </x:c>
      <x:c r="J1233" t="str">
        <x:v>P1</x:v>
      </x:c>
      <x:c r="K1233" t="str">
        <x:v>CLSD</x:v>
      </x:c>
      <x:c r="L1233" t="str">
        <x:v>OPS+MECH</x:v>
      </x:c>
      <x:c r="M1233" t="str">
        <x:v>condenser_fouling</x:v>
      </x:c>
      <x:c r="N1233" t="str">
        <x:v>tube leak sus</x:v>
      </x:c>
      <x:c r="O1233" t="str">
        <x:v>LEAK</x:v>
      </x:c>
      <x:c r="P1233" t="str">
        <x:v>TUBE</x:v>
      </x:c>
      <x:c r="Q1233" t="str">
        <x:v>N</x:v>
      </x:c>
      <x:c r="R1233" t="str">
        <x:v>3.1</x:v>
      </x:c>
      <x:c r="S1233" t="str">
        <x:v>11499.61</x:v>
      </x:c>
      <x:c r="T1233" t="str">
        <x:v>E-502 drum temp hi, tube leak sus</x:v>
      </x:c>
      <x:c r="U1233" t="str">
        <x:v>night called for E-502 deethanizer overhead condenser, cond not pullng seen during condenser fouling. Foud tube leak sus; hydrotest reqd. Could not get permit first time waiting area gas test. opened strainer, cleaned black sludge. temp repair only, plan shutdown job. notif made by ops, maint attended same shift.</x:v>
      </x:c>
    </x:row>
    <x:row r="1234" ht="15" hidden="0" customHeight="1">
      <x:c r="A1234" t="str">
        <x:v>10451233</x:v>
      </x:c>
      <x:c r="B1234" t="str">
        <x:v>40871233</x:v>
      </x:c>
      <x:c r="C1234" t="str">
        <x:v>2026-05-06</x:v>
      </x:c>
      <x:c r="D1234" t="str">
        <x:v>2026-05-06</x:v>
      </x:c>
      <x:c r="E1234" t="str">
        <x:v>2026-05-09</x:v>
      </x:c>
      <x:c r="F1234" t="str">
        <x:v>U400-DEETHANIZER-500</x:v>
      </x:c>
      <x:c r="G1234" t="str">
        <x:v>PV-501</x:v>
      </x:c>
      <x:c r="H1234" t="str">
        <x:v>column pressure control valve</x:v>
      </x:c>
      <x:c r="I1234" t="str">
        <x:v>control_valve</x:v>
      </x:c>
      <x:c r="J1234" t="str">
        <x:v>P4</x:v>
      </x:c>
      <x:c r="K1234" t="str">
        <x:v>TECO</x:v>
      </x:c>
      <x:c r="L1234" t="str">
        <x:v>ANLYZR</x:v>
      </x:c>
      <x:c r="M1234" t="str">
        <x:v>valve_stiction</x:v>
      </x:c>
      <x:c r="N1234" t="str">
        <x:v>stiction</x:v>
      </x:c>
      <x:c r="O1234" t="str">
        <x:v>STICK</x:v>
      </x:c>
      <x:c r="P1234" t="str">
        <x:v>PACKING</x:v>
      </x:c>
      <x:c r="Q1234" t="str">
        <x:v>N</x:v>
      </x:c>
      <x:c r="R1234" t="str">
        <x:v>10.2</x:v>
      </x:c>
      <x:c r="S1234" t="str">
        <x:v>2264.71</x:v>
      </x:c>
      <x:c r="T1234" t="str">
        <x:v>PV-501 stiction temp fix</x:v>
      </x:c>
      <x:c r="U1234" t="str">
        <x:v>A shift called for PV-501 colmn press control valve, loop cycling seen during valve stiction. Foud stiction; stem sticky and pos err. opened strainer, cleaned black sludge. no leak at handover. notif made by ops, maint attended same shift.</x:v>
      </x:c>
    </x:row>
    <x:row r="1235" ht="15" hidden="0" customHeight="1">
      <x:c r="A1235" t="str">
        <x:v>10451234</x:v>
      </x:c>
      <x:c r="B1235" t="str">
        <x:v>40871234</x:v>
      </x:c>
      <x:c r="C1235" t="str">
        <x:v>2026-05-09</x:v>
      </x:c>
      <x:c r="D1235" t="str">
        <x:v>2026-05-10</x:v>
      </x:c>
      <x:c r="E1235" t="str">
        <x:v>2026-05-15</x:v>
      </x:c>
      <x:c r="F1235" t="str">
        <x:v>U400-DEETHANIZER-500</x:v>
      </x:c>
      <x:c r="G1235" t="str">
        <x:v>P-501A</x:v>
      </x:c>
      <x:c r="H1235" t="str">
        <x:v>reflux pump A</x:v>
      </x:c>
      <x:c r="I1235" t="str">
        <x:v>pump</x:v>
      </x:c>
      <x:c r="J1235" t="str">
        <x:v>P2</x:v>
      </x:c>
      <x:c r="K1235" t="str">
        <x:v>COMP</x:v>
      </x:c>
      <x:c r="L1235" t="str">
        <x:v>OPS+INST</x:v>
      </x:c>
      <x:c r="M1235" t="str">
        <x:v>reflux_pump_degradation</x:v>
      </x:c>
      <x:c r="N1235" t="str">
        <x:v>seal leak</x:v>
      </x:c>
      <x:c r="O1235" t="str">
        <x:v>MECH_SEAL</x:v>
      </x:c>
      <x:c r="P1235" t="str">
        <x:v>SEAL</x:v>
      </x:c>
      <x:c r="Q1235" t="str">
        <x:v>N</x:v>
      </x:c>
      <x:c r="R1235" t="str">
        <x:v>6.4</x:v>
      </x:c>
      <x:c r="S1235" t="str">
        <x:v>13460.63</x:v>
      </x:c>
      <x:c r="T1235" t="str">
        <x:v>chk P-501A - seal leak frm ops</x:v>
      </x:c>
      <x:c r="U1235" t="str">
        <x:v>B shift called for P-501A reflux pump A, disch press low seen during reflux pump degradation. Foud seal leak; seal face worn / dry run signs. History shows same complain last mnth. opened strainer, cleaned black sludge. no leak at handover. notif made by ops, maint attended same shift.</x:v>
      </x:c>
    </x:row>
    <x:row r="1236" ht="15" hidden="0" customHeight="1">
      <x:c r="A1236" t="str">
        <x:v>10451235</x:v>
      </x:c>
      <x:c r="B1236" t="str">
        <x:v>40871235</x:v>
      </x:c>
      <x:c r="C1236" t="str">
        <x:v>2026-05-12</x:v>
      </x:c>
      <x:c r="D1236" t="str">
        <x:v>2026-05-12</x:v>
      </x:c>
      <x:c r="E1236" t="str">
        <x:v>2026-05-13</x:v>
      </x:c>
      <x:c r="F1236" t="str">
        <x:v>U400-DEETHANIZER-500</x:v>
      </x:c>
      <x:c r="G1236" t="str">
        <x:v>P-501B</x:v>
      </x:c>
      <x:c r="H1236" t="str">
        <x:v>reflux pump B</x:v>
      </x:c>
      <x:c r="I1236" t="str">
        <x:v>pump</x:v>
      </x:c>
      <x:c r="J1236" t="str">
        <x:v>P2</x:v>
      </x:c>
      <x:c r="K1236" t="str">
        <x:v>COMP</x:v>
      </x:c>
      <x:c r="L1236" t="str">
        <x:v>INST</x:v>
      </x:c>
      <x:c r="M1236" t="str">
        <x:v>feed_flow_step</x:v>
      </x:c>
      <x:c r="N1236" t="str">
        <x:v>bearing hot</x:v>
      </x:c>
      <x:c r="O1236" t="str">
        <x:v>BRG</x:v>
      </x:c>
      <x:c r="P1236" t="str">
        <x:v>WEAR</x:v>
      </x:c>
      <x:c r="Q1236" t="str">
        <x:v>N</x:v>
      </x:c>
      <x:c r="R1236" t="str">
        <x:v>10.7</x:v>
      </x:c>
      <x:c r="S1236" t="str">
        <x:v>16133.0</x:v>
      </x:c>
      <x:c r="T1236" t="str">
        <x:v>P-501B bearing hot again, prod upset</x:v>
      </x:c>
      <x:c r="U1236" t="str">
        <x:v>C shift called for P-501B reflux pump B, c2 recov down seen during feed flow step. Foud bearing hot; brg rough, lube dark. Could not get permit first time waiting area gas test. opened strainer, cleaned black sludge. readng close to dcs after job. notif made by ops, maint attended same shift.</x:v>
      </x:c>
    </x:row>
    <x:row r="1237" ht="15" hidden="0" customHeight="1">
      <x:c r="A1237" t="str">
        <x:v>10451236</x:v>
      </x:c>
      <x:c r="B1237" t="str">
        <x:v>40871236</x:v>
      </x:c>
      <x:c r="C1237" t="str">
        <x:v>2026-05-09</x:v>
      </x:c>
      <x:c r="D1237" t="str">
        <x:v>2026-05-11</x:v>
      </x:c>
      <x:c r="E1237" t="str">
        <x:v>2026-05-12</x:v>
      </x:c>
      <x:c r="F1237" t="str">
        <x:v>U400-DEETHANIZER-500</x:v>
      </x:c>
      <x:c r="G1237" t="str">
        <x:v>FT-502</x:v>
      </x:c>
      <x:c r="H1237" t="str">
        <x:v>reflux flow transmitter</x:v>
      </x:c>
      <x:c r="I1237" t="str">
        <x:v>instrument</x:v>
      </x:c>
      <x:c r="J1237" t="str">
        <x:v>P2</x:v>
      </x:c>
      <x:c r="K1237" t="str">
        <x:v>CLSD</x:v>
      </x:c>
      <x:c r="L1237" t="str">
        <x:v>E&amp;I</x:v>
      </x:c>
      <x:c r="M1237" t="str">
        <x:v>reflux_pump_degradation</x:v>
      </x:c>
      <x:c r="N1237" t="str">
        <x:v>bad reading</x:v>
      </x:c>
      <x:c r="O1237" t="str">
        <x:v>DRIFT</x:v>
      </x:c>
      <x:c r="P1237" t="str">
        <x:v>CAL</x:v>
      </x:c>
      <x:c r="Q1237" t="str">
        <x:v>N</x:v>
      </x:c>
      <x:c r="R1237" t="str">
        <x:v>14.2</x:v>
      </x:c>
      <x:c r="S1237" t="str">
        <x:v>5218.72</x:v>
      </x:c>
      <x:c r="T1237" t="str">
        <x:v>FT-502 not ok after reflux pump degradation</x:v>
      </x:c>
      <x:c r="U1237" t="str">
        <x:v>A shift called for FT-502 reflux flow tx, min flow hot seen during reflux pump degradation. Foud bad reading; needs calib. cleaned and put back online. unit stable now. notif made by ops, maint attended same shift.</x:v>
      </x:c>
    </x:row>
    <x:row r="1238" ht="15" hidden="0" customHeight="1">
      <x:c r="A1238" t="str">
        <x:v>10451237</x:v>
      </x:c>
      <x:c r="B1238" t="str">
        <x:v>40871237</x:v>
      </x:c>
      <x:c r="C1238" t="str">
        <x:v>2026-05-13</x:v>
      </x:c>
      <x:c r="D1238" t="str">
        <x:v>2026-05-14</x:v>
      </x:c>
      <x:c r="E1238" t="str">
        <x:v>2026-05-14</x:v>
      </x:c>
      <x:c r="F1238" t="str">
        <x:v>U400-DEETHANIZER-500</x:v>
      </x:c>
      <x:c r="G1238" t="str">
        <x:v>TT-501B</x:v>
      </x:c>
      <x:c r="H1238" t="str">
        <x:v>sensitive tray temperature tx</x:v>
      </x:c>
      <x:c r="I1238" t="str">
        <x:v>instrument</x:v>
      </x:c>
      <x:c r="J1238" t="str">
        <x:v>P3</x:v>
      </x:c>
      <x:c r="K1238" t="str">
        <x:v>COMP</x:v>
      </x:c>
      <x:c r="L1238" t="str">
        <x:v>ANLYZR</x:v>
      </x:c>
      <x:c r="M1238" t="str">
        <x:v>valve_stiction</x:v>
      </x:c>
      <x:c r="N1238" t="str">
        <x:v>bad reading</x:v>
      </x:c>
      <x:c r="O1238" t="str">
        <x:v>DRIFT</x:v>
      </x:c>
      <x:c r="P1238" t="str">
        <x:v>CAL</x:v>
      </x:c>
      <x:c r="Q1238" t="str">
        <x:v>N</x:v>
      </x:c>
      <x:c r="R1238" t="str">
        <x:v>8.0</x:v>
      </x:c>
      <x:c r="S1238" t="str">
        <x:v>2808.17</x:v>
      </x:c>
      <x:c r="T1238" t="str">
        <x:v>TT-501B not ok after valve stiction</x:v>
      </x:c>
      <x:c r="U1238" t="str">
        <x:v>days called for TT-501B sensitive tray temperature tx, op jumps seen during valve stiction. Foud bad reading; needs calib. stroke tested, response better. unit stable now. notif made by ops, maint attended same shift.</x:v>
      </x:c>
    </x:row>
    <x:row r="1239" ht="15" hidden="0" customHeight="1">
      <x:c r="A1239" t="str">
        <x:v>10451238</x:v>
      </x:c>
      <x:c r="B1239" t="str">
        <x:v>40871238</x:v>
      </x:c>
      <x:c r="C1239" t="str">
        <x:v>2026-05-17</x:v>
      </x:c>
      <x:c r="D1239" t="str">
        <x:v>2026-05-19</x:v>
      </x:c>
      <x:c r="E1239" t="str">
        <x:v>2026-05-20</x:v>
      </x:c>
      <x:c r="F1239" t="str">
        <x:v>U400-DEETHANIZER-500</x:v>
      </x:c>
      <x:c r="G1239" t="str">
        <x:v>TT-501B</x:v>
      </x:c>
      <x:c r="H1239" t="str">
        <x:v>sensitive tray temperature tx</x:v>
      </x:c>
      <x:c r="I1239" t="str">
        <x:v>instrument</x:v>
      </x:c>
      <x:c r="J1239" t="str">
        <x:v>P2</x:v>
      </x:c>
      <x:c r="K1239" t="str">
        <x:v>CLSD</x:v>
      </x:c>
      <x:c r="L1239" t="str">
        <x:v>OPS+INST</x:v>
      </x:c>
      <x:c r="M1239" t="str">
        <x:v>feed_temperature_ramp</x:v>
      </x:c>
      <x:c r="N1239" t="str">
        <x:v>no signal</x:v>
      </x:c>
      <x:c r="O1239" t="str">
        <x:v>NO_SIGNAL</x:v>
      </x:c>
      <x:c r="P1239" t="str">
        <x:v>ELEC</x:v>
      </x:c>
      <x:c r="Q1239" t="str">
        <x:v>N</x:v>
      </x:c>
      <x:c r="R1239" t="str">
        <x:v>17.3</x:v>
      </x:c>
      <x:c r="S1239" t="str">
        <x:v>3037.14</x:v>
      </x:c>
      <x:c r="T1239" t="str">
        <x:v>TT-501B spec off, no signal</x:v>
      </x:c>
      <x:c r="U1239" t="str">
        <x:v>A shift called for TT-501B sensitive tray temperature tx, ovhd press moving seen during feed temperature ramp. Foud no signal; 24v or card issue. changed gasket and boxed up. need watch next feed swing. notif made by ops, maint attended same shift.</x:v>
      </x:c>
    </x:row>
    <x:row r="1240" ht="15" hidden="0" customHeight="1">
      <x:c r="A1240" t="str">
        <x:v>10451239</x:v>
      </x:c>
      <x:c r="B1240" t="str">
        <x:v>40871239</x:v>
      </x:c>
      <x:c r="C1240" t="str">
        <x:v>2026-05-18</x:v>
      </x:c>
      <x:c r="D1240" t="str">
        <x:v>2026-05-18</x:v>
      </x:c>
      <x:c r="E1240" t="str">
        <x:v>2026-05-20</x:v>
      </x:c>
      <x:c r="F1240" t="str">
        <x:v>U400-DEETHANIZER-500</x:v>
      </x:c>
      <x:c r="G1240" t="str">
        <x:v>XV-501</x:v>
      </x:c>
      <x:c r="H1240" t="str">
        <x:v>feed shutdown valve</x:v>
      </x:c>
      <x:c r="I1240" t="str">
        <x:v>shutdown_valve</x:v>
      </x:c>
      <x:c r="J1240" t="str">
        <x:v>P3</x:v>
      </x:c>
      <x:c r="K1240" t="str">
        <x:v>COMP</x:v>
      </x:c>
      <x:c r="L1240" t="str">
        <x:v>ANLYZR</x:v>
      </x:c>
      <x:c r="M1240" t="str">
        <x:v>condenser_fouling</x:v>
      </x:c>
      <x:c r="N1240" t="str">
        <x:v>limit sw bad</x:v>
      </x:c>
      <x:c r="O1240" t="str">
        <x:v>ZSO_ZSC</x:v>
      </x:c>
      <x:c r="P1240" t="str">
        <x:v>ELEC</x:v>
      </x:c>
      <x:c r="Q1240" t="str">
        <x:v>N</x:v>
      </x:c>
      <x:c r="R1240" t="str">
        <x:v>17.1</x:v>
      </x:c>
      <x:c r="S1240" t="str">
        <x:v>5948.38</x:v>
      </x:c>
      <x:c r="T1240" t="str">
        <x:v>chk XV-501 - limit sw bad frm ops</x:v>
      </x:c>
      <x:c r="U1240" t="str">
        <x:v>A shift called for XV-501 feed shutdown valve, cw dt low seen during condenser fouling. Foud limit sw bad; feedback mismatch. flushed impulse/sample line. readng close to dcs after job. notif made by ops, maint attended same shift.</x:v>
      </x:c>
    </x:row>
    <x:row r="1241" ht="15" hidden="0" customHeight="1">
      <x:c r="A1241" t="str">
        <x:v>10451240</x:v>
      </x:c>
      <x:c r="B1241" t="str">
        <x:v>40871240</x:v>
      </x:c>
      <x:c r="C1241" t="str">
        <x:v>2026-05-15</x:v>
      </x:c>
      <x:c r="D1241" t="str">
        <x:v>2026-05-15</x:v>
      </x:c>
      <x:c r="E1241" t="str">
        <x:v>2026-05-16</x:v>
      </x:c>
      <x:c r="F1241" t="str">
        <x:v>U400-DEETHANIZER-500</x:v>
      </x:c>
      <x:c r="G1241" t="str">
        <x:v>TV-501</x:v>
      </x:c>
      <x:c r="H1241" t="str">
        <x:v>reboiler hot medium valve</x:v>
      </x:c>
      <x:c r="I1241" t="str">
        <x:v>control_valve</x:v>
      </x:c>
      <x:c r="J1241" t="str">
        <x:v>P3</x:v>
      </x:c>
      <x:c r="K1241" t="str">
        <x:v>COMP</x:v>
      </x:c>
      <x:c r="L1241" t="str">
        <x:v>ANLYZR</x:v>
      </x:c>
      <x:c r="M1241" t="str">
        <x:v>feed_temperature_ramp</x:v>
      </x:c>
      <x:c r="N1241" t="str">
        <x:v>air leak</x:v>
      </x:c>
      <x:c r="O1241" t="str">
        <x:v>AIR_LEAK</x:v>
      </x:c>
      <x:c r="P1241" t="str">
        <x:v>TUBING</x:v>
      </x:c>
      <x:c r="Q1241" t="str">
        <x:v>N</x:v>
      </x:c>
      <x:c r="R1241" t="str">
        <x:v>16.2</x:v>
      </x:c>
      <x:c r="S1241" t="str">
        <x:v>5294.16</x:v>
      </x:c>
      <x:c r="T1241" t="str">
        <x:v>TV-501 tray temp drift, air leak</x:v>
      </x:c>
      <x:c r="U1241" t="str">
        <x:v>B shift called for TV-501 reboiler hot medium valve, tray temp drift seen during feed temperature ramp. Foud air leak; positioner supply drop. Could not get permit first time waiting area gas test. cleaned and put back online. need watch next feed swing. notif made by ops, maint attended same shift.</x:v>
      </x:c>
    </x:row>
    <x:row r="1242" ht="15" hidden="0" customHeight="1">
      <x:c r="A1242" t="str">
        <x:v>10451241</x:v>
      </x:c>
      <x:c r="B1242" t="str">
        <x:v>40871241</x:v>
      </x:c>
      <x:c r="C1242" t="str">
        <x:v>2026-05-20</x:v>
      </x:c>
      <x:c r="D1242" t="str">
        <x:v>2026-05-21</x:v>
      </x:c>
      <x:c r="E1242" t="str">
        <x:v>2026-05-23</x:v>
      </x:c>
      <x:c r="F1242" t="str">
        <x:v>U400-DEETHANIZER-500</x:v>
      </x:c>
      <x:c r="G1242" t="str">
        <x:v>TT-501B</x:v>
      </x:c>
      <x:c r="H1242" t="str">
        <x:v>sensitive tray temperature tx</x:v>
      </x:c>
      <x:c r="I1242" t="str">
        <x:v>instrument</x:v>
      </x:c>
      <x:c r="J1242" t="str">
        <x:v>P4</x:v>
      </x:c>
      <x:c r="K1242" t="str">
        <x:v>COMP</x:v>
      </x:c>
      <x:c r="L1242" t="str">
        <x:v>E&amp;I</x:v>
      </x:c>
      <x:c r="M1242" t="str">
        <x:v>reboiler_duty_loss</x:v>
      </x:c>
      <x:c r="N1242" t="str">
        <x:v>impulse plugged</x:v>
      </x:c>
      <x:c r="O1242" t="str">
        <x:v>PLUG</x:v>
      </x:c>
      <x:c r="P1242" t="str">
        <x:v>PROCESS</x:v>
      </x:c>
      <x:c r="Q1242" t="str">
        <x:v>N</x:v>
      </x:c>
      <x:c r="R1242" t="str">
        <x:v>16.5</x:v>
      </x:c>
      <x:c r="S1242" t="str">
        <x:v>4310.35</x:v>
      </x:c>
      <x:c r="T1242" t="str">
        <x:v>TT-501B tray temp low, impulse plugged</x:v>
      </x:c>
      <x:c r="U1242" t="str">
        <x:v>B shift called for TT-501B sensitive tray temperature tx, c2 in btm seen during rebiler duty loss. Foud impulse plugged; tap/line dirty. cleaned and put back online. temp repair only, plan shutdown job. notif made by ops, maint attended same shift.</x:v>
      </x:c>
    </x:row>
    <x:row r="1243" ht="15" hidden="0" customHeight="1">
      <x:c r="A1243" t="str">
        <x:v>10451242</x:v>
      </x:c>
      <x:c r="B1243" t="str">
        <x:v>40871242</x:v>
      </x:c>
      <x:c r="C1243" t="str">
        <x:v>2026-05-17</x:v>
      </x:c>
      <x:c r="D1243" t="str">
        <x:v>2026-05-18</x:v>
      </x:c>
      <x:c r="E1243" t="str">
        <x:v>2026-05-19</x:v>
      </x:c>
      <x:c r="F1243" t="str">
        <x:v>U400-DEETHANIZER-500</x:v>
      </x:c>
      <x:c r="G1243" t="str">
        <x:v>FV-501</x:v>
      </x:c>
      <x:c r="H1243" t="str">
        <x:v>feed flow control valve</x:v>
      </x:c>
      <x:c r="I1243" t="str">
        <x:v>control_valve</x:v>
      </x:c>
      <x:c r="J1243" t="str">
        <x:v>P2</x:v>
      </x:c>
      <x:c r="K1243" t="str">
        <x:v>CLSD</x:v>
      </x:c>
      <x:c r="L1243" t="str">
        <x:v>ANLYZR</x:v>
      </x:c>
      <x:c r="M1243" t="str">
        <x:v>valve_stiction</x:v>
      </x:c>
      <x:c r="N1243" t="str">
        <x:v>stiction</x:v>
      </x:c>
      <x:c r="O1243" t="str">
        <x:v>STICK</x:v>
      </x:c>
      <x:c r="P1243" t="str">
        <x:v>PACKING</x:v>
      </x:c>
      <x:c r="Q1243" t="str">
        <x:v>N</x:v>
      </x:c>
      <x:c r="R1243" t="str">
        <x:v>11.0</x:v>
      </x:c>
      <x:c r="S1243" t="str">
        <x:v>2419.36</x:v>
      </x:c>
      <x:c r="T1243" t="str">
        <x:v>chk FV-501 - stiction frm ops</x:v>
      </x:c>
      <x:c r="U1243" t="str">
        <x:v>C shift called for FV-501 feed flow control valve, air leak seen during valve stiction. Foud stiction; stem sticky and pos err. Tag plate dirty, confirmd by line up with panel. tightened fittings, leak test ok. unit stable now. notif made by ops, maint attended same shift.</x:v>
      </x:c>
    </x:row>
    <x:row r="1244" ht="15" hidden="0" customHeight="1">
      <x:c r="A1244" t="str">
        <x:v>10451243</x:v>
      </x:c>
      <x:c r="B1244" t="str">
        <x:v>40871243</x:v>
      </x:c>
      <x:c r="C1244" t="str">
        <x:v>2026-05-21</x:v>
      </x:c>
      <x:c r="D1244" t="str">
        <x:v>2026-05-21</x:v>
      </x:c>
      <x:c r="E1244" t="str">
        <x:v>2026-05-22</x:v>
      </x:c>
      <x:c r="F1244" t="str">
        <x:v>U400-DEETHANIZER-500</x:v>
      </x:c>
      <x:c r="G1244" t="str">
        <x:v>TT-503</x:v>
      </x:c>
      <x:c r="H1244" t="str">
        <x:v>reboiler outlet temperature tx</x:v>
      </x:c>
      <x:c r="I1244" t="str">
        <x:v>instrument</x:v>
      </x:c>
      <x:c r="J1244" t="str">
        <x:v>P3</x:v>
      </x:c>
      <x:c r="K1244" t="str">
        <x:v>COMP</x:v>
      </x:c>
      <x:c r="L1244" t="str">
        <x:v>OPS+INST</x:v>
      </x:c>
      <x:c r="M1244" t="str">
        <x:v>reboiler_duty_loss</x:v>
      </x:c>
      <x:c r="N1244" t="str">
        <x:v>loose wire</x:v>
      </x:c>
      <x:c r="O1244" t="str">
        <x:v>SIGNAL</x:v>
      </x:c>
      <x:c r="P1244" t="str">
        <x:v>ELEC</x:v>
      </x:c>
      <x:c r="Q1244" t="str">
        <x:v>N</x:v>
      </x:c>
      <x:c r="R1244" t="str">
        <x:v>10.0</x:v>
      </x:c>
      <x:c r="S1244" t="str">
        <x:v>646.62</x:v>
      </x:c>
      <x:c r="T1244" t="str">
        <x:v>TT-503 loose wire after upset</x:v>
      </x:c>
      <x:c r="U1244" t="str">
        <x:v>C shift called for TT-503 reboiler outlet temperature tx, rb circ cold seen during reboiler duty loss. Foud loose wire; term loose. tightened fittings, leak test ok. ops says ok for now. notif made by ops, maint attended same shift.</x:v>
      </x:c>
    </x:row>
    <x:row r="1245" ht="15" hidden="0" customHeight="1">
      <x:c r="A1245" t="str">
        <x:v>10451244</x:v>
      </x:c>
      <x:c r="B1245" t="str">
        <x:v>40871244</x:v>
      </x:c>
      <x:c r="C1245" t="str">
        <x:v>2026-05-23</x:v>
      </x:c>
      <x:c r="D1245" t="str">
        <x:v>2026-05-24</x:v>
      </x:c>
      <x:c r="E1245" t="str">
        <x:v>2026-05-26</x:v>
      </x:c>
      <x:c r="F1245" t="str">
        <x:v>U400-DEETHANIZER-500</x:v>
      </x:c>
      <x:c r="G1245" t="str">
        <x:v>E-501</x:v>
      </x:c>
      <x:c r="H1245" t="str">
        <x:v>deethanizer reboiler</x:v>
      </x:c>
      <x:c r="I1245" t="str">
        <x:v>reboiler</x:v>
      </x:c>
      <x:c r="J1245" t="str">
        <x:v>P2</x:v>
      </x:c>
      <x:c r="K1245" t="str">
        <x:v>CLSD</x:v>
      </x:c>
      <x:c r="L1245" t="str">
        <x:v>VALVE</x:v>
      </x:c>
      <x:c r="M1245" t="str">
        <x:v>condenser_fouling</x:v>
      </x:c>
      <x:c r="N1245" t="str">
        <x:v>rb leak</x:v>
      </x:c>
      <x:c r="O1245" t="str">
        <x:v>LEAK</x:v>
      </x:c>
      <x:c r="P1245" t="str">
        <x:v>GASKET</x:v>
      </x:c>
      <x:c r="Q1245" t="str">
        <x:v>N</x:v>
      </x:c>
      <x:c r="R1245" t="str">
        <x:v>15.9</x:v>
      </x:c>
      <x:c r="S1245" t="str">
        <x:v>3743.1</x:v>
      </x:c>
      <x:c r="T1245" t="str">
        <x:v>E-501 cw dt low, rb leak</x:v>
      </x:c>
      <x:c r="U1245" t="str">
        <x:v>C shift called for E-501 deethanizer reboiler, pic wide open seen during condenser fouling. Foud rb leak; channel flange weep. swapped to standby and repaired. temp repair only, plan shutdown job. notif made by ops, maint attended same shift.</x:v>
      </x:c>
    </x:row>
    <x:row r="1246" ht="15" hidden="0" customHeight="1">
      <x:c r="A1246" t="str">
        <x:v>10451245</x:v>
      </x:c>
      <x:c r="B1246" t="str">
        <x:v>40871245</x:v>
      </x:c>
      <x:c r="C1246" t="str">
        <x:v>2026-05-22</x:v>
      </x:c>
      <x:c r="D1246" t="str">
        <x:v>2026-05-22</x:v>
      </x:c>
      <x:c r="E1246" t="str">
        <x:v>2026-05-22</x:v>
      </x:c>
      <x:c r="F1246" t="str">
        <x:v>U400-DEETHANIZER-500</x:v>
      </x:c>
      <x:c r="G1246" t="str">
        <x:v>PT-501</x:v>
      </x:c>
      <x:c r="H1246" t="str">
        <x:v>column overhead pressure tx</x:v>
      </x:c>
      <x:c r="I1246" t="str">
        <x:v>instrument</x:v>
      </x:c>
      <x:c r="J1246" t="str">
        <x:v>P3</x:v>
      </x:c>
      <x:c r="K1246" t="str">
        <x:v>TECO</x:v>
      </x:c>
      <x:c r="L1246" t="str">
        <x:v>E&amp;I</x:v>
      </x:c>
      <x:c r="M1246" t="str">
        <x:v>pressure_control_fault</x:v>
      </x:c>
      <x:c r="N1246" t="str">
        <x:v>loose wire</x:v>
      </x:c>
      <x:c r="O1246" t="str">
        <x:v>SIGNAL</x:v>
      </x:c>
      <x:c r="P1246" t="str">
        <x:v>ELEC</x:v>
      </x:c>
      <x:c r="Q1246" t="str">
        <x:v>N</x:v>
      </x:c>
      <x:c r="R1246" t="str">
        <x:v>10.1</x:v>
      </x:c>
      <x:c r="S1246" t="str">
        <x:v>3551.06</x:v>
      </x:c>
      <x:c r="T1246" t="str">
        <x:v>chk PT-501 - loose wire frm ops</x:v>
      </x:c>
      <x:c r="U1246" t="str">
        <x:v>C shift called for PT-501 column overhead pressure tx, flare valve checked seen during pressure control fault. Foud loose wire; term loose. changed gasket and boxed up. still little hunting but acceptable. notif made by ops, maint attended same shift.</x:v>
      </x:c>
    </x:row>
    <x:row r="1247" ht="15" hidden="0" customHeight="1">
      <x:c r="A1247" t="str">
        <x:v>10451246</x:v>
      </x:c>
      <x:c r="B1247" t="str">
        <x:v>40871246</x:v>
      </x:c>
      <x:c r="C1247" t="str">
        <x:v>2026-05-24</x:v>
      </x:c>
      <x:c r="D1247" t="str">
        <x:v>2026-05-26</x:v>
      </x:c>
      <x:c r="E1247" t="str">
        <x:v>2026-05-27</x:v>
      </x:c>
      <x:c r="F1247" t="str">
        <x:v>U400-DEETHANIZER-500</x:v>
      </x:c>
      <x:c r="G1247" t="str">
        <x:v>FV-501</x:v>
      </x:c>
      <x:c r="H1247" t="str">
        <x:v>feed flow control valve</x:v>
      </x:c>
      <x:c r="I1247" t="str">
        <x:v>control_valve</x:v>
      </x:c>
      <x:c r="J1247" t="str">
        <x:v>P2</x:v>
      </x:c>
      <x:c r="K1247" t="str">
        <x:v>CLSD</x:v>
      </x:c>
      <x:c r="L1247" t="str">
        <x:v>ROT</x:v>
      </x:c>
      <x:c r="M1247" t="str">
        <x:v>feed_flow_step</x:v>
      </x:c>
      <x:c r="N1247" t="str">
        <x:v>passing</x:v>
      </x:c>
      <x:c r="O1247" t="str">
        <x:v>LEAK_BY</x:v>
      </x:c>
      <x:c r="P1247" t="str">
        <x:v>SEAT</x:v>
      </x:c>
      <x:c r="Q1247" t="str">
        <x:v>Y</x:v>
      </x:c>
      <x:c r="R1247" t="str">
        <x:v>10.3</x:v>
      </x:c>
      <x:c r="S1247" t="str">
        <x:v>5115.66</x:v>
      </x:c>
      <x:c r="T1247" t="str">
        <x:v>FV-501 passing temp fix</x:v>
      </x:c>
      <x:c r="U1247" t="str">
        <x:v>B shift called for FV-501 feed flow control vavle, column dp high seen during feed flow step. Foud passing; seat leak by. tightened fittings, leak test ok. ops says ok for now. notif made by ops, maint attended same shift.</x:v>
      </x:c>
    </x:row>
    <x:row r="1248" ht="15" hidden="0" customHeight="1">
      <x:c r="A1248" t="str">
        <x:v>10451247</x:v>
      </x:c>
      <x:c r="B1248" t="str">
        <x:v>40871247</x:v>
      </x:c>
      <x:c r="C1248" t="str">
        <x:v>2026-05-30</x:v>
      </x:c>
      <x:c r="D1248" t="str">
        <x:v>2026-05-31</x:v>
      </x:c>
      <x:c r="E1248" t="str">
        <x:v>2026-05-31</x:v>
      </x:c>
      <x:c r="F1248" t="str">
        <x:v>U400-DEETHANIZER-500</x:v>
      </x:c>
      <x:c r="G1248" t="str">
        <x:v>TV-501</x:v>
      </x:c>
      <x:c r="H1248" t="str">
        <x:v>reboiler hot medium valve</x:v>
      </x:c>
      <x:c r="I1248" t="str">
        <x:v>control_valve</x:v>
      </x:c>
      <x:c r="J1248" t="str">
        <x:v>P1</x:v>
      </x:c>
      <x:c r="K1248" t="str">
        <x:v>COMP</x:v>
      </x:c>
      <x:c r="L1248" t="str">
        <x:v>VALVE</x:v>
      </x:c>
      <x:c r="M1248" t="str">
        <x:v>valve_stiction</x:v>
      </x:c>
      <x:c r="N1248" t="str">
        <x:v>stiction</x:v>
      </x:c>
      <x:c r="O1248" t="str">
        <x:v>STICK</x:v>
      </x:c>
      <x:c r="P1248" t="str">
        <x:v>PACKING</x:v>
      </x:c>
      <x:c r="Q1248" t="str">
        <x:v>Y</x:v>
      </x:c>
      <x:c r="R1248" t="str">
        <x:v>21.4</x:v>
      </x:c>
      <x:c r="S1248" t="str">
        <x:v>2745.95</x:v>
      </x:c>
      <x:c r="T1248" t="str">
        <x:v>TV-501 stiction again, prod upset</x:v>
      </x:c>
      <x:c r="U1248" t="str">
        <x:v>A shift called for TV-501 reboiler hot medium valve, air leak seen during valve stiction. Foud stiction; stem sticky and pos err. changed gasket and boxed up. temp repair only, plan shutdown job. notif made by ops, maint attended same shift.</x:v>
      </x:c>
    </x:row>
    <x:row r="1249" ht="15" hidden="0" customHeight="1">
      <x:c r="A1249" t="str">
        <x:v>10451248</x:v>
      </x:c>
      <x:c r="B1249" t="str">
        <x:v>40871248</x:v>
      </x:c>
      <x:c r="C1249" t="str">
        <x:v>2026-05-31</x:v>
      </x:c>
      <x:c r="D1249" t="str">
        <x:v>2026-06-01</x:v>
      </x:c>
      <x:c r="E1249" t="str">
        <x:v>2026-05-31</x:v>
      </x:c>
      <x:c r="F1249" t="str">
        <x:v>U400-DEETHANIZER-500</x:v>
      </x:c>
      <x:c r="G1249" t="str">
        <x:v>P-501B</x:v>
      </x:c>
      <x:c r="H1249" t="str">
        <x:v>reflux pump B</x:v>
      </x:c>
      <x:c r="I1249" t="str">
        <x:v>pump</x:v>
      </x:c>
      <x:c r="J1249" t="str">
        <x:v>P3</x:v>
      </x:c>
      <x:c r="K1249" t="str">
        <x:v>COMP</x:v>
      </x:c>
      <x:c r="L1249" t="str">
        <x:v>ANLYZR</x:v>
      </x:c>
      <x:c r="M1249" t="str">
        <x:v>reflux_pump_degradation</x:v>
      </x:c>
      <x:c r="N1249" t="str">
        <x:v>bearing hot</x:v>
      </x:c>
      <x:c r="O1249" t="str">
        <x:v>BRG</x:v>
      </x:c>
      <x:c r="P1249" t="str">
        <x:v>WEAR</x:v>
      </x:c>
      <x:c r="Q1249" t="str">
        <x:v>N</x:v>
      </x:c>
      <x:c r="R1249" t="str">
        <x:v>7.6</x:v>
      </x:c>
      <x:c r="S1249" t="str">
        <x:v>16570.28</x:v>
      </x:c>
      <x:c r="T1249" t="str">
        <x:v>chk P-501B - bearing hot frm ops</x:v>
      </x:c>
      <x:c r="U1249" t="str">
        <x:v>days called for P-501B reflux pump B, seal weep seen during reflux pump degradation. Foud bearing hot; brg rough, lube dark. flushed impulse/sample line. ops says ok for now. notif made by ops, maint attended same shift.</x:v>
      </x:c>
    </x:row>
    <x:row r="1250" ht="15" hidden="0" customHeight="1">
      <x:c r="A1250" t="str">
        <x:v>10451249</x:v>
      </x:c>
      <x:c r="B1250" t="str">
        <x:v>40871249</x:v>
      </x:c>
      <x:c r="C1250" t="str">
        <x:v>2026-05-28</x:v>
      </x:c>
      <x:c r="D1250" t="str">
        <x:v>2026-05-28</x:v>
      </x:c>
      <x:c r="E1250" t="str">
        <x:v>2026-05-29</x:v>
      </x:c>
      <x:c r="F1250" t="str">
        <x:v>U400-DEETHANIZER-500</x:v>
      </x:c>
      <x:c r="G1250" t="str">
        <x:v>E-502</x:v>
      </x:c>
      <x:c r="H1250" t="str">
        <x:v>deethanizer overhead condenser</x:v>
      </x:c>
      <x:c r="I1250" t="str">
        <x:v>condenser</x:v>
      </x:c>
      <x:c r="J1250" t="str">
        <x:v>P3</x:v>
      </x:c>
      <x:c r="K1250" t="str">
        <x:v>TECO</x:v>
      </x:c>
      <x:c r="L1250" t="str">
        <x:v>INST</x:v>
      </x:c>
      <x:c r="M1250" t="str">
        <x:v>feed_composition_shift</x:v>
      </x:c>
      <x:c r="N1250" t="str">
        <x:v>tv no travel</x:v>
      </x:c>
      <x:c r="O1250" t="str">
        <x:v>VALVE</x:v>
      </x:c>
      <x:c r="P1250" t="str">
        <x:v>STICK</x:v>
      </x:c>
      <x:c r="Q1250" t="str">
        <x:v>N</x:v>
      </x:c>
      <x:c r="R1250" t="str">
        <x:v>17.9</x:v>
      </x:c>
      <x:c r="S1250" t="str">
        <x:v>6434.41</x:v>
      </x:c>
      <x:c r="T1250" t="str">
        <x:v>chk E-502 - tv no travel frm ops</x:v>
      </x:c>
      <x:c r="U1250" t="str">
        <x:v>B shift called for E-502 deethanizer overhead condenser, btm heavy seen during feed composition shift. Foud tv no travel; cooling valve stuck. Line was hot so job done slow and with ops standing by. opened strainer, cleaned black sludge. temp repair only, plan shutdown job. notif made by ops, maint attended same shift.</x:v>
      </x:c>
    </x:row>
    <x:row r="1251" ht="15" hidden="0" customHeight="1">
      <x:c r="A1251" t="str">
        <x:v>10451250</x:v>
      </x:c>
      <x:c r="B1251" t="str">
        <x:v>40871250</x:v>
      </x:c>
      <x:c r="C1251" t="str">
        <x:v>2026-05-31</x:v>
      </x:c>
      <x:c r="D1251" t="str">
        <x:v>2026-06-01</x:v>
      </x:c>
      <x:c r="E1251" t="str">
        <x:v>2026-05-31</x:v>
      </x:c>
      <x:c r="F1251" t="str">
        <x:v>U400-DEETHANIZER-500</x:v>
      </x:c>
      <x:c r="G1251" t="str">
        <x:v>P-501B</x:v>
      </x:c>
      <x:c r="H1251" t="str">
        <x:v>reflux pump B</x:v>
      </x:c>
      <x:c r="I1251" t="str">
        <x:v>pump</x:v>
      </x:c>
      <x:c r="J1251" t="str">
        <x:v>P2</x:v>
      </x:c>
      <x:c r="K1251" t="str">
        <x:v>COMP</x:v>
      </x:c>
      <x:c r="L1251" t="str">
        <x:v>E&amp;I</x:v>
      </x:c>
      <x:c r="M1251" t="str">
        <x:v>pressure_control_fault</x:v>
      </x:c>
      <x:c r="N1251" t="str">
        <x:v>vib high</x:v>
      </x:c>
      <x:c r="O1251" t="str">
        <x:v>VIB</x:v>
      </x:c>
      <x:c r="P1251" t="str">
        <x:v>ALIGN</x:v>
      </x:c>
      <x:c r="Q1251" t="str">
        <x:v>N</x:v>
      </x:c>
      <x:c r="R1251" t="str">
        <x:v>8.6</x:v>
      </x:c>
      <x:c r="S1251" t="str">
        <x:v>13930.86</x:v>
      </x:c>
      <x:c r="T1251" t="str">
        <x:v>chk P-501B - vib high frm ops</x:v>
      </x:c>
      <x:c r="U1251" t="str">
        <x:v>C shift called for P-501B rflx pump B, pic unstable seen during pressure control fault. Foud vib high; coupling align or cavitation. tightened fittings, leak test ok. readng close to dcs after job. notif made by ops, maint attended same shift.</x:v>
      </x:c>
    </x:row>
  </x:sheetData>
  <x:pageMargins left="0.7" right="0.7" top="0.75" bottom="0.75" header="0.3" footer="0.3"/>
  <x:tableParts count="1">
    <x:tablePart xmlns:r="http://schemas.openxmlformats.org/officeDocument/2006/relationships" r:id="R76435effeb3742c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25" hidden="0" customWidth="1"/>
    <x:col min="2" max="2" width="8.380000114440918" hidden="0" customWidth="1"/>
    <x:col min="4" max="4" width="10.630000114440918" hidden="0" customWidth="1"/>
    <x:col min="5" max="5" width="8.380000114440918" hidden="0" customWidth="1"/>
  </x:cols>
  <x:sheetData>
    <x:row r="1" ht="19.200000762939453" hidden="0" customHeight="1">
      <x:c r="A1" s="16" t="str">
        <x:v>U400 Deethanizer CMMS Corrective WO History</x:v>
      </x:c>
    </x:row>
    <x:row r="2" ht="15" hidden="0" customHeight="1">
      <x:c r="A2" s="20" t="str">
        <x:v>Synthetic 5-year corrective history from 2021-06 to 2026-05, aligned to deethanizer process upsets and equipment failures.</x:v>
      </x:c>
    </x:row>
    <x:row r="3"/>
    <x:row r="4" ht="15" hidden="0" customHeight="1">
      <x:c r="A4" s="28" t="str">
        <x:v>Process upset</x:v>
      </x:c>
      <x:c r="B4" s="28" t="str">
        <x:v>WO count</x:v>
      </x:c>
      <x:c r="C4" s="28"/>
      <x:c r="D4" s="28" t="str">
        <x:v>Equipment tag</x:v>
      </x:c>
      <x:c r="E4" s="28" t="str">
        <x:v>WO count</x:v>
      </x:c>
      <x:c r="F4" s="28"/>
    </x:row>
    <x:row r="5" ht="15" hidden="0" customHeight="1">
      <x:c r="A5" s="29" t="str">
        <x:v>valve_stiction</x:v>
      </x:c>
      <x:c r="B5" s="29" t="n">
        <x:f>COUNTIF('Work Orders'!M$2:M$1251,A5)</x:f>
        <x:v>193</x:v>
      </x:c>
      <x:c r="C5" s="29"/>
      <x:c r="D5" s="29" t="str">
        <x:v>P-501A</x:v>
      </x:c>
      <x:c r="E5" s="29" t="n">
        <x:f>COUNTIF('Work Orders'!G$2:G$1251,D5)</x:f>
        <x:v>55</x:v>
      </x:c>
      <x:c r="F5" s="29"/>
    </x:row>
    <x:row r="6" ht="15" hidden="0" customHeight="1">
      <x:c r="A6" s="29" t="str">
        <x:v>reboiler_duty_loss</x:v>
      </x:c>
      <x:c r="B6" s="29" t="n">
        <x:f>COUNTIF('Work Orders'!M$2:M$1251,A6)</x:f>
        <x:v>187</x:v>
      </x:c>
      <x:c r="C6" s="29"/>
      <x:c r="D6" s="29" t="str">
        <x:v>E-501</x:v>
      </x:c>
      <x:c r="E6" s="29" t="n">
        <x:f>COUNTIF('Work Orders'!G$2:G$1251,D6)</x:f>
        <x:v>79</x:v>
      </x:c>
      <x:c r="F6" s="29"/>
    </x:row>
    <x:row r="7" ht="15" hidden="0" customHeight="1">
      <x:c r="A7" s="29" t="str">
        <x:v>reflux_pump_degradation</x:v>
      </x:c>
      <x:c r="B7" s="29" t="n">
        <x:f>COUNTIF('Work Orders'!M$2:M$1251,A7)</x:f>
        <x:v>179</x:v>
      </x:c>
      <x:c r="C7" s="29"/>
      <x:c r="D7" s="29" t="str">
        <x:v>E-502</x:v>
      </x:c>
      <x:c r="E7" s="29" t="n">
        <x:f>COUNTIF('Work Orders'!G$2:G$1251,D7)</x:f>
        <x:v>86</x:v>
      </x:c>
      <x:c r="F7" s="29"/>
    </x:row>
    <x:row r="8" ht="15" hidden="0" customHeight="1">
      <x:c r="A8" s="29" t="str">
        <x:v>condenser_fouling</x:v>
      </x:c>
      <x:c r="B8" s="29" t="n">
        <x:f>COUNTIF('Work Orders'!M$2:M$1251,A8)</x:f>
        <x:v>147</x:v>
      </x:c>
      <x:c r="C8" s="29"/>
      <x:c r="D8" s="29" t="str">
        <x:v>FV-502</x:v>
      </x:c>
      <x:c r="E8" s="29" t="n">
        <x:f>COUNTIF('Work Orders'!G$2:G$1251,D8)</x:f>
        <x:v>78</x:v>
      </x:c>
      <x:c r="F8" s="29"/>
    </x:row>
    <x:row r="9" ht="15" hidden="0" customHeight="1">
      <x:c r="A9" s="29" t="str">
        <x:v>feed_flow_step</x:v>
      </x:c>
      <x:c r="B9" s="29" t="n">
        <x:f>COUNTIF('Work Orders'!M$2:M$1251,A9)</x:f>
        <x:v>136</x:v>
      </x:c>
      <x:c r="C9" s="29"/>
      <x:c r="D9" s="29" t="str">
        <x:v>TV-501</x:v>
      </x:c>
      <x:c r="E9" s="29" t="n">
        <x:f>COUNTIF('Work Orders'!G$2:G$1251,D9)</x:f>
        <x:v>82</x:v>
      </x:c>
      <x:c r="F9" s="29"/>
    </x:row>
    <x:row r="10" ht="15" hidden="0" customHeight="1">
      <x:c r="A10" s="29" t="str">
        <x:v>feed_temperature_ramp</x:v>
      </x:c>
      <x:c r="B10" s="29" t="n">
        <x:f>COUNTIF('Work Orders'!M$2:M$1251,A10)</x:f>
        <x:v>132</x:v>
      </x:c>
      <x:c r="C10" s="29"/>
      <x:c r="D10" s="29" t="str">
        <x:v>PV-501</x:v>
      </x:c>
      <x:c r="E10" s="29" t="n">
        <x:f>COUNTIF('Work Orders'!G$2:G$1251,D10)</x:f>
        <x:v>70</x:v>
      </x:c>
      <x:c r="F10" s="29"/>
    </x:row>
    <x:row r="11" ht="15" hidden="0" customHeight="1">
      <x:c r="A11" s="29" t="str">
        <x:v>feed_composition_shift</x:v>
      </x:c>
      <x:c r="B11" s="29" t="n">
        <x:f>COUNTIF('Work Orders'!M$2:M$1251,A11)</x:f>
        <x:v>107</x:v>
      </x:c>
      <x:c r="C11" s="29"/>
      <x:c r="D11" s="29" t="str">
        <x:v>T-501</x:v>
      </x:c>
      <x:c r="E11" s="29" t="n">
        <x:f>COUNTIF('Work Orders'!G$2:G$1251,D11)</x:f>
        <x:v>57</x:v>
      </x:c>
      <x:c r="F11" s="29"/>
    </x:row>
    <x:row r="12" ht="15" hidden="0" customHeight="1">
      <x:c r="A12" s="29" t="str">
        <x:v>pressure_control_fault</x:v>
      </x:c>
      <x:c r="B12" s="29" t="n">
        <x:f>COUNTIF('Work Orders'!M$2:M$1251,A12)</x:f>
        <x:v>102</x:v>
      </x:c>
      <x:c r="C12" s="29"/>
      <x:c r="D12" s="29" t="str">
        <x:v>FT-502</x:v>
      </x:c>
      <x:c r="E12" s="29" t="n">
        <x:f>COUNTIF('Work Orders'!G$2:G$1251,D12)</x:f>
        <x:v>40</x:v>
      </x:c>
      <x:c r="F12" s="29"/>
    </x:row>
    <x:row r="13" ht="15" hidden="0" customHeight="1">
      <x:c r="A13" s="29" t="str">
        <x:v>normal_wear</x:v>
      </x:c>
      <x:c r="B13" s="29" t="n">
        <x:f>COUNTIF('Work Orders'!M$2:M$1251,A13)</x:f>
        <x:v>67</x:v>
      </x:c>
      <x:c r="C13" s="29"/>
      <x:c r="D13" s="29" t="str">
        <x:v>LT-501</x:v>
      </x:c>
      <x:c r="E13" s="29" t="n">
        <x:f>COUNTIF('Work Orders'!G$2:G$1251,D13)</x:f>
        <x:v>9</x:v>
      </x:c>
      <x:c r="F13" s="29"/>
    </x:row>
    <x:row r="14" ht="15" hidden="0" customHeight="1">
      <x:c r="A14" s="29"/>
      <x:c r="B14" s="29"/>
      <x:c r="C14" s="29"/>
      <x:c r="D14" s="29"/>
      <x:c r="E14" s="29"/>
      <x:c r="F14" s="29"/>
    </x:row>
    <x:row r="15" ht="15" hidden="0" customHeight="1">
      <x:c r="A15" s="28" t="str">
        <x:v>Check</x:v>
      </x:c>
      <x:c r="B15" s="28" t="str">
        <x:v>Value</x:v>
      </x:c>
      <x:c r="C15" s="28"/>
      <x:c r="D15" s="28" t="str">
        <x:v>Check</x:v>
      </x:c>
      <x:c r="E15" s="28" t="str">
        <x:v>Value</x:v>
      </x:c>
      <x:c r="F15" s="28"/>
    </x:row>
    <x:row r="16" ht="15" hidden="0" customHeight="1">
      <x:c r="A16" s="29" t="str">
        <x:v>Rows</x:v>
      </x:c>
      <x:c r="B16" s="29" t="n">
        <x:f>COUNTA('Work Orders'!A$2:A$1251)</x:f>
        <x:v>1250</x:v>
      </x:c>
      <x:c r="C16" s="29"/>
      <x:c r="D16" s="29" t="str">
        <x:v>Distinct tags</x:v>
      </x:c>
      <x:c r="E16" s="29" t="n">
        <x:f>COUNTA(UNIQUE('Work Orders'!G$2:G$1251))</x:f>
        <x:v>30</x:v>
      </x:c>
      <x:c r="F16" s="29"/>
    </x:row>
    <x:row r="17" ht="15" hidden="0" customHeight="1">
      <x:c r="A17" s="29" t="str">
        <x:v>Earliest notif</x:v>
      </x:c>
      <x:c r="B17" s="30" t="n">
        <x:f>MIN('Work Orders'!C$2:C$1251)</x:f>
        <x:v>0</x:v>
      </x:c>
      <x:c r="C17" s="29"/>
      <x:c r="D17" s="29" t="str">
        <x:v>Latest notif</x:v>
      </x:c>
      <x:c r="E17" s="30" t="n">
        <x:f>MAX('Work Orders'!C$2:C$1251)</x:f>
        <x:v>0</x:v>
      </x:c>
      <x:c r="F17" s="29"/>
    </x:row>
    <x:row r="18" ht="15" hidden="0" customHeight="1">
      <x:c r="A18" s="29" t="str">
        <x:v>Blank notif text</x:v>
      </x:c>
      <x:c r="B18" s="29" t="n">
        <x:f>COUNTBLANK('Work Orders'!T$2:T$1251)+COUNTBLANK('Work Orders'!U$2:U$1251)</x:f>
        <x:v>0</x:v>
      </x:c>
      <x:c r="C18" s="29"/>
      <x:c r="D18" s="29" t="str">
        <x:v>P1/P2 count</x:v>
      </x:c>
      <x:c r="E18" s="29" t="n">
        <x:f>COUNTIF('Work Orders'!J$2:J$1251,"P1")+COUNTIF('Work Orders'!J$2:J$1251,"P2")</x:f>
        <x:v>453</x:v>
      </x:c>
      <x:c r="F18" s="29"/>
    </x:row>
  </x:sheetData>
  <x:mergeCells>
    <x:mergeCell ref="A1:F1"/>
    <x:mergeCell ref="A2:F2"/>
  </x:mergeCells>
  <x:pageMargins left="0.7" right="0.7" top="0.75" bottom="0.75" header="0.3" footer="0.3"/>
  <x:drawing xmlns:r="http://schemas.openxmlformats.org/officeDocument/2006/relationships" r:id="R192bf9feae814185"/>
</x:worksheet>
</file>